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8_{323E0FD3-4FCC-49A4-9397-1BBC44AFE9AC}" xr6:coauthVersionLast="47" xr6:coauthVersionMax="47" xr10:uidLastSave="{00000000-0000-0000-0000-000000000000}"/>
  <bookViews>
    <workbookView xWindow="-120" yWindow="-120" windowWidth="29040" windowHeight="15720" xr2:uid="{94BF2231-228C-48F6-B4FA-70B0A4030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5" i="1" l="1"/>
  <c r="Y15" i="1" s="1"/>
  <c r="X16" i="1"/>
  <c r="Y16" i="1" s="1"/>
  <c r="X17" i="1"/>
  <c r="Y17" i="1" s="1"/>
  <c r="X18" i="1"/>
  <c r="Y18" i="1" s="1"/>
  <c r="X14" i="1"/>
  <c r="D21" i="1"/>
  <c r="D22" i="1" s="1"/>
  <c r="E21" i="1"/>
  <c r="E22" i="1" s="1"/>
  <c r="F21" i="1"/>
  <c r="F22" i="1" s="1"/>
  <c r="G21" i="1"/>
  <c r="G22" i="1" s="1"/>
  <c r="H21" i="1"/>
  <c r="H22" i="1" s="1"/>
  <c r="I21" i="1"/>
  <c r="I22" i="1" s="1"/>
  <c r="J21" i="1"/>
  <c r="J22" i="1" s="1"/>
  <c r="K21" i="1"/>
  <c r="K22" i="1" s="1"/>
  <c r="L21" i="1"/>
  <c r="L22" i="1" s="1"/>
  <c r="M21" i="1"/>
  <c r="M22" i="1" s="1"/>
  <c r="N21" i="1"/>
  <c r="N22" i="1" s="1"/>
  <c r="O21" i="1"/>
  <c r="O22" i="1" s="1"/>
  <c r="P21" i="1"/>
  <c r="P22" i="1" s="1"/>
  <c r="Q21" i="1"/>
  <c r="Q22" i="1" s="1"/>
  <c r="R21" i="1"/>
  <c r="R22" i="1" s="1"/>
  <c r="S21" i="1"/>
  <c r="S22" i="1" s="1"/>
  <c r="T21" i="1"/>
  <c r="T22" i="1" s="1"/>
  <c r="U21" i="1"/>
  <c r="U22" i="1" s="1"/>
  <c r="V21" i="1"/>
  <c r="V22" i="1" s="1"/>
  <c r="W21" i="1"/>
  <c r="W22" i="1" s="1"/>
  <c r="C21" i="1"/>
  <c r="C22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C12" i="1"/>
  <c r="D12" i="1" s="1"/>
  <c r="C13" i="1" a="1"/>
  <c r="Y9" i="1" l="1"/>
  <c r="Y3" i="1"/>
  <c r="Y6" i="1"/>
  <c r="B6" i="1"/>
  <c r="B9" i="1"/>
  <c r="Y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<sst xmlns="http://schemas.openxmlformats.org/spreadsheetml/2006/main" count="20" uniqueCount="19">
  <si>
    <t>Habbits</t>
  </si>
  <si>
    <t>Daily Exercise</t>
  </si>
  <si>
    <t>2ltr water</t>
  </si>
  <si>
    <t>read pages10</t>
  </si>
  <si>
    <t>learing new a day</t>
  </si>
  <si>
    <t>college study</t>
  </si>
  <si>
    <t>habbits starts</t>
  </si>
  <si>
    <t>Week1</t>
  </si>
  <si>
    <t>Week2</t>
  </si>
  <si>
    <t>Week3</t>
  </si>
  <si>
    <t>Task Completed</t>
  </si>
  <si>
    <t>%Completed</t>
  </si>
  <si>
    <t xml:space="preserve"> </t>
  </si>
  <si>
    <t>Total completed</t>
  </si>
  <si>
    <t>Best habbit</t>
  </si>
  <si>
    <t>Worst habbit</t>
  </si>
  <si>
    <t>100% Completed</t>
  </si>
  <si>
    <t>50% completed</t>
  </si>
  <si>
    <t>0%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</si>
</sst>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ddd"/>
    <numFmt numFmtId="172" formatCode="#\ &quot;days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9" tint="-0.249977111117893"/>
      <name val="Aptos Narrow"/>
      <family val="2"/>
      <scheme val="minor"/>
    </font>
    <font>
      <sz val="11"/>
      <color theme="6"/>
      <name val="Playbill"/>
      <family val="5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69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5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1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0" fontId="2" fillId="0" borderId="0" xfId="0" applyFont="1"/>
    <xf numFmtId="9" fontId="2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901344174901938E-2"/>
          <c:y val="7.7294662468815861E-2"/>
          <c:w val="0.90392084348709911"/>
          <c:h val="0.73628400128296967"/>
        </c:manualLayout>
      </c:layout>
      <c:lineChart>
        <c:grouping val="standar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%Completed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Sheet1!$C$22:$W$22</c:f>
              <c:numCache>
                <c:formatCode>0%</c:formatCode>
                <c:ptCount val="21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0.6</c:v>
                </c:pt>
                <c:pt idx="7">
                  <c:v>0.6</c:v>
                </c:pt>
                <c:pt idx="8">
                  <c:v>0.4</c:v>
                </c:pt>
                <c:pt idx="9">
                  <c:v>0.8</c:v>
                </c:pt>
                <c:pt idx="10">
                  <c:v>0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0.2</c:v>
                </c:pt>
                <c:pt idx="16">
                  <c:v>0.4</c:v>
                </c:pt>
                <c:pt idx="17">
                  <c:v>0.4</c:v>
                </c:pt>
                <c:pt idx="18">
                  <c:v>0.6</c:v>
                </c:pt>
                <c:pt idx="19">
                  <c:v>0.8</c:v>
                </c:pt>
                <c:pt idx="20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45-402A-9EDA-231B7AB03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909695"/>
        <c:axId val="1379113519"/>
      </c:lineChart>
      <c:catAx>
        <c:axId val="16459096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113519"/>
        <c:crosses val="autoZero"/>
        <c:auto val="1"/>
        <c:lblAlgn val="ctr"/>
        <c:lblOffset val="100"/>
        <c:noMultiLvlLbl val="0"/>
      </c:catAx>
      <c:valAx>
        <c:axId val="1379113519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909695"/>
        <c:crosses val="autoZero"/>
        <c:crossBetween val="between"/>
      </c:valAx>
      <c:spPr>
        <a:noFill/>
        <a:ln>
          <a:solidFill>
            <a:schemeClr val="accent2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</xdr:colOff>
      <xdr:row>0</xdr:row>
      <xdr:rowOff>176211</xdr:rowOff>
    </xdr:from>
    <xdr:to>
      <xdr:col>22</xdr:col>
      <xdr:colOff>95249</xdr:colOff>
      <xdr:row>9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0C0D6-0372-6490-B335-51057E1F5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BD8A-7585-4242-BDCC-EDDFCAA81A14}">
  <dimension ref="B2:AA22"/>
  <sheetViews>
    <sheetView showGridLines="0" tabSelected="1" zoomScale="145" zoomScaleNormal="145" workbookViewId="0">
      <selection activeCell="AB18" sqref="AB18"/>
    </sheetView>
  </sheetViews>
  <sheetFormatPr defaultRowHeight="15" x14ac:dyDescent="0.25"/>
  <cols>
    <col min="2" max="2" width="12.85546875" customWidth="1"/>
    <col min="3" max="23" width="5.28515625" customWidth="1"/>
    <col min="24" max="24" width="15.5703125" hidden="1" customWidth="1"/>
    <col min="25" max="25" width="15.28515625" bestFit="1" customWidth="1"/>
  </cols>
  <sheetData>
    <row r="2" spans="2:27" x14ac:dyDescent="0.25">
      <c r="B2" s="3" t="s">
        <v>6</v>
      </c>
      <c r="Y2" s="3" t="s">
        <v>16</v>
      </c>
    </row>
    <row r="3" spans="2:27" x14ac:dyDescent="0.25">
      <c r="B3" s="6">
        <v>46327</v>
      </c>
      <c r="Y3" s="9">
        <f>COUNTIF(C22:W22,"100%")</f>
        <v>5</v>
      </c>
    </row>
    <row r="5" spans="2:27" x14ac:dyDescent="0.25">
      <c r="B5" s="3" t="s">
        <v>14</v>
      </c>
      <c r="Y5" s="3" t="s">
        <v>17</v>
      </c>
    </row>
    <row r="6" spans="2:27" x14ac:dyDescent="0.25">
      <c r="B6" s="8" t="str">
        <f>_xlfn.XLOOKUP(MAX(X14:X18),X14:X18,B14:B18)</f>
        <v>Daily Exercise</v>
      </c>
      <c r="Y6" s="9">
        <f>COUNTIF(C22:W22,"&gt;50%")</f>
        <v>16</v>
      </c>
    </row>
    <row r="8" spans="2:27" x14ac:dyDescent="0.25">
      <c r="B8" s="3" t="s">
        <v>15</v>
      </c>
      <c r="Y8" s="3" t="s">
        <v>18</v>
      </c>
    </row>
    <row r="9" spans="2:27" x14ac:dyDescent="0.25">
      <c r="B9" s="6" t="str">
        <f>_xlfn.XLOOKUP(MIN(X14:X18),X14:X18,B14:B18)</f>
        <v>college study</v>
      </c>
      <c r="Y9" s="9">
        <f>COUNTIF(C22:W22,"0%")</f>
        <v>1</v>
      </c>
    </row>
    <row r="10" spans="2:27" x14ac:dyDescent="0.25">
      <c r="AA10" t="s">
        <v>12</v>
      </c>
    </row>
    <row r="11" spans="2:27" x14ac:dyDescent="0.25">
      <c r="B11" s="1"/>
      <c r="C11" s="4" t="s">
        <v>7</v>
      </c>
      <c r="D11" s="4"/>
      <c r="E11" s="4"/>
      <c r="F11" s="4"/>
      <c r="G11" s="4"/>
      <c r="H11" s="4"/>
      <c r="I11" s="4"/>
      <c r="J11" s="4" t="s">
        <v>8</v>
      </c>
      <c r="K11" s="4"/>
      <c r="L11" s="4"/>
      <c r="M11" s="4"/>
      <c r="N11" s="4"/>
      <c r="O11" s="4"/>
      <c r="P11" s="4"/>
      <c r="Q11" s="4" t="s">
        <v>9</v>
      </c>
      <c r="R11" s="4"/>
      <c r="S11" s="4"/>
      <c r="T11" s="4"/>
      <c r="U11" s="4"/>
      <c r="V11" s="4"/>
      <c r="W11" s="4"/>
      <c r="X11" s="1"/>
      <c r="Y11" s="1"/>
    </row>
    <row r="12" spans="2:27" x14ac:dyDescent="0.25">
      <c r="B12" s="1"/>
      <c r="C12" s="2">
        <f>B3</f>
        <v>46327</v>
      </c>
      <c r="D12" s="2">
        <f>C12+1</f>
        <v>46328</v>
      </c>
      <c r="E12" s="2">
        <f t="shared" ref="E12:W12" si="0">D12+1</f>
        <v>46329</v>
      </c>
      <c r="F12" s="2">
        <f t="shared" si="0"/>
        <v>46330</v>
      </c>
      <c r="G12" s="2">
        <f t="shared" si="0"/>
        <v>46331</v>
      </c>
      <c r="H12" s="2">
        <f t="shared" si="0"/>
        <v>46332</v>
      </c>
      <c r="I12" s="2">
        <f t="shared" si="0"/>
        <v>46333</v>
      </c>
      <c r="J12" s="2">
        <f t="shared" si="0"/>
        <v>46334</v>
      </c>
      <c r="K12" s="2">
        <f t="shared" si="0"/>
        <v>46335</v>
      </c>
      <c r="L12" s="2">
        <f t="shared" si="0"/>
        <v>46336</v>
      </c>
      <c r="M12" s="2">
        <f t="shared" si="0"/>
        <v>46337</v>
      </c>
      <c r="N12" s="2">
        <f t="shared" si="0"/>
        <v>46338</v>
      </c>
      <c r="O12" s="2">
        <f t="shared" si="0"/>
        <v>46339</v>
      </c>
      <c r="P12" s="2">
        <f t="shared" si="0"/>
        <v>46340</v>
      </c>
      <c r="Q12" s="2">
        <f t="shared" si="0"/>
        <v>46341</v>
      </c>
      <c r="R12" s="2">
        <f t="shared" si="0"/>
        <v>46342</v>
      </c>
      <c r="S12" s="2">
        <f t="shared" si="0"/>
        <v>46343</v>
      </c>
      <c r="T12" s="2">
        <f t="shared" si="0"/>
        <v>46344</v>
      </c>
      <c r="U12" s="2">
        <f t="shared" si="0"/>
        <v>46345</v>
      </c>
      <c r="V12" s="2">
        <f t="shared" si="0"/>
        <v>46346</v>
      </c>
      <c r="W12" s="2">
        <f t="shared" si="0"/>
        <v>46347</v>
      </c>
      <c r="X12" s="1"/>
      <c r="Y12" s="1"/>
    </row>
    <row r="13" spans="2:27" x14ac:dyDescent="0.25">
      <c r="B13" s="1" t="s">
        <v>0</v>
      </c>
      <c r="C13" s="3" cm="1">
        <f t="array" ref="C13:W13">_xlfn.SEQUENCE(,21)</f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1" t="s">
        <v>13</v>
      </c>
      <c r="Y13" s="1" t="s">
        <v>13</v>
      </c>
    </row>
    <row r="14" spans="2:27" x14ac:dyDescent="0.25">
      <c r="B14" t="s">
        <v>1</v>
      </c>
      <c r="C14" s="5" t="b">
        <v>1</v>
      </c>
      <c r="D14" s="5" t="b">
        <v>1</v>
      </c>
      <c r="E14" s="5" t="b">
        <v>1</v>
      </c>
      <c r="F14" s="5" t="b">
        <v>1</v>
      </c>
      <c r="G14" s="5" t="b">
        <v>1</v>
      </c>
      <c r="H14" s="5" t="b">
        <v>1</v>
      </c>
      <c r="I14" s="5" t="b">
        <v>1</v>
      </c>
      <c r="J14" s="5" t="b">
        <v>1</v>
      </c>
      <c r="K14" s="5" t="b">
        <v>1</v>
      </c>
      <c r="L14" s="5" t="b">
        <v>1</v>
      </c>
      <c r="M14" s="5" t="b">
        <v>0</v>
      </c>
      <c r="N14" s="5" t="b">
        <v>1</v>
      </c>
      <c r="O14" s="5" t="b">
        <v>1</v>
      </c>
      <c r="P14" s="5" t="b">
        <v>1</v>
      </c>
      <c r="Q14" s="5" t="b">
        <v>1</v>
      </c>
      <c r="R14" s="5" t="b">
        <v>1</v>
      </c>
      <c r="S14" s="5" t="b">
        <v>1</v>
      </c>
      <c r="T14" s="5" t="b">
        <v>1</v>
      </c>
      <c r="U14" s="5" t="b">
        <v>1</v>
      </c>
      <c r="V14" s="5" t="b">
        <v>1</v>
      </c>
      <c r="W14" s="5" t="b">
        <v>1</v>
      </c>
      <c r="X14">
        <f>COUNTIF(C14:W14,"True")</f>
        <v>20</v>
      </c>
      <c r="Y14" s="7" t="str">
        <f>REPT("|",X14*4)</f>
        <v>||||||||||||||||||||||||||||||||||||||||||||||||||||||||||||||||||||||||||||||||</v>
      </c>
    </row>
    <row r="15" spans="2:27" x14ac:dyDescent="0.25">
      <c r="B15" t="s">
        <v>2</v>
      </c>
      <c r="C15" s="5" t="b">
        <v>1</v>
      </c>
      <c r="D15" s="5" t="b">
        <v>1</v>
      </c>
      <c r="E15" s="5" t="b">
        <v>1</v>
      </c>
      <c r="F15" s="5" t="b">
        <v>1</v>
      </c>
      <c r="G15" s="5" t="b">
        <v>1</v>
      </c>
      <c r="H15" s="5" t="b">
        <v>1</v>
      </c>
      <c r="I15" s="5" t="b">
        <v>1</v>
      </c>
      <c r="J15" s="5" t="b">
        <v>1</v>
      </c>
      <c r="K15" s="5" t="b">
        <v>0</v>
      </c>
      <c r="L15" s="5" t="b">
        <v>1</v>
      </c>
      <c r="M15" s="5" t="b">
        <v>0</v>
      </c>
      <c r="N15" s="5" t="b">
        <v>0</v>
      </c>
      <c r="O15" s="5" t="b">
        <v>1</v>
      </c>
      <c r="P15" s="5" t="b">
        <v>1</v>
      </c>
      <c r="Q15" s="5" t="b">
        <v>1</v>
      </c>
      <c r="R15" s="5" t="b">
        <v>0</v>
      </c>
      <c r="S15" s="5" t="b">
        <v>0</v>
      </c>
      <c r="T15" s="5" t="b">
        <v>0</v>
      </c>
      <c r="U15" s="5" t="b">
        <v>1</v>
      </c>
      <c r="V15" s="5" t="b">
        <v>0</v>
      </c>
      <c r="W15" s="5" t="b">
        <v>1</v>
      </c>
      <c r="X15">
        <f t="shared" ref="X15:X18" si="1">COUNTIF(C15:W15,"True")</f>
        <v>14</v>
      </c>
      <c r="Y15" s="7" t="str">
        <f t="shared" ref="Y15:Y18" si="2">REPT("|",X15*4)</f>
        <v>||||||||||||||||||||||||||||||||||||||||||||||||||||||||</v>
      </c>
    </row>
    <row r="16" spans="2:27" x14ac:dyDescent="0.25">
      <c r="B16" t="s">
        <v>3</v>
      </c>
      <c r="C16" s="5" t="b">
        <v>1</v>
      </c>
      <c r="D16" s="5" t="b">
        <v>1</v>
      </c>
      <c r="E16" s="5" t="b">
        <v>1</v>
      </c>
      <c r="F16" s="5" t="b">
        <v>1</v>
      </c>
      <c r="G16" s="5" t="b">
        <v>1</v>
      </c>
      <c r="H16" s="5" t="b">
        <v>1</v>
      </c>
      <c r="I16" s="5" t="b">
        <v>0</v>
      </c>
      <c r="J16" s="5" t="b">
        <v>1</v>
      </c>
      <c r="K16" s="5" t="b">
        <v>0</v>
      </c>
      <c r="L16" s="5" t="b">
        <v>1</v>
      </c>
      <c r="M16" s="5" t="b">
        <v>0</v>
      </c>
      <c r="N16" s="5" t="b">
        <v>1</v>
      </c>
      <c r="O16" s="5" t="b">
        <v>0</v>
      </c>
      <c r="P16" s="5" t="b">
        <v>0</v>
      </c>
      <c r="Q16" s="5" t="b">
        <v>0</v>
      </c>
      <c r="R16" s="5" t="b">
        <v>0</v>
      </c>
      <c r="S16" s="5" t="b">
        <v>1</v>
      </c>
      <c r="T16" s="5" t="b">
        <v>1</v>
      </c>
      <c r="U16" s="5" t="b">
        <v>0</v>
      </c>
      <c r="V16" s="5" t="b">
        <v>1</v>
      </c>
      <c r="W16" s="5" t="b">
        <v>1</v>
      </c>
      <c r="X16">
        <f t="shared" si="1"/>
        <v>13</v>
      </c>
      <c r="Y16" s="7" t="str">
        <f t="shared" si="2"/>
        <v>||||||||||||||||||||||||||||||||||||||||||||||||||||</v>
      </c>
    </row>
    <row r="17" spans="2:25" x14ac:dyDescent="0.25">
      <c r="B17" t="s">
        <v>4</v>
      </c>
      <c r="C17" s="5" t="b">
        <v>1</v>
      </c>
      <c r="D17" s="5" t="b">
        <v>0</v>
      </c>
      <c r="E17" s="5" t="b">
        <v>1</v>
      </c>
      <c r="F17" s="5" t="b">
        <v>1</v>
      </c>
      <c r="G17" s="5" t="b">
        <v>1</v>
      </c>
      <c r="H17" s="5" t="b">
        <v>1</v>
      </c>
      <c r="I17" s="5" t="b">
        <v>0</v>
      </c>
      <c r="J17" s="5" t="b">
        <v>0</v>
      </c>
      <c r="K17" s="5" t="b">
        <v>1</v>
      </c>
      <c r="L17" s="5" t="b">
        <v>1</v>
      </c>
      <c r="M17" s="5" t="b">
        <v>0</v>
      </c>
      <c r="N17" s="5" t="b">
        <v>0</v>
      </c>
      <c r="O17" s="5" t="b">
        <v>1</v>
      </c>
      <c r="P17" s="5" t="b">
        <v>1</v>
      </c>
      <c r="Q17" s="5" t="b">
        <v>1</v>
      </c>
      <c r="R17" s="5" t="b">
        <v>0</v>
      </c>
      <c r="S17" s="5" t="b">
        <v>0</v>
      </c>
      <c r="T17" s="5" t="b">
        <v>0</v>
      </c>
      <c r="U17" s="5" t="b">
        <v>1</v>
      </c>
      <c r="V17" s="5" t="b">
        <v>1</v>
      </c>
      <c r="W17" s="5" t="b">
        <v>0</v>
      </c>
      <c r="X17">
        <f t="shared" si="1"/>
        <v>12</v>
      </c>
      <c r="Y17" s="7" t="str">
        <f t="shared" si="2"/>
        <v>||||||||||||||||||||||||||||||||||||||||||||||||</v>
      </c>
    </row>
    <row r="18" spans="2:25" x14ac:dyDescent="0.25">
      <c r="B18" t="s">
        <v>5</v>
      </c>
      <c r="C18" s="5" t="b">
        <v>1</v>
      </c>
      <c r="D18" s="5" t="b">
        <v>1</v>
      </c>
      <c r="E18" s="5" t="b">
        <v>1</v>
      </c>
      <c r="F18" s="5" t="b">
        <v>1</v>
      </c>
      <c r="G18" s="5" t="b">
        <v>1</v>
      </c>
      <c r="H18" s="5" t="b">
        <v>1</v>
      </c>
      <c r="I18" s="5" t="b">
        <v>1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1</v>
      </c>
      <c r="O18" s="5" t="b">
        <v>0</v>
      </c>
      <c r="P18" s="5" t="b">
        <v>0</v>
      </c>
      <c r="Q18" s="5" t="b">
        <v>0</v>
      </c>
      <c r="R18" s="5" t="b">
        <v>0</v>
      </c>
      <c r="S18" s="5" t="b">
        <v>0</v>
      </c>
      <c r="T18" s="5" t="b">
        <v>0</v>
      </c>
      <c r="U18" s="5" t="b">
        <v>0</v>
      </c>
      <c r="V18" s="5" t="b">
        <v>1</v>
      </c>
      <c r="W18" s="5" t="b">
        <v>0</v>
      </c>
      <c r="X18">
        <f t="shared" si="1"/>
        <v>9</v>
      </c>
      <c r="Y18" s="7" t="str">
        <f t="shared" si="2"/>
        <v>||||||||||||||||||||||||||||||||||||</v>
      </c>
    </row>
    <row r="21" spans="2:25" s="10" customFormat="1" x14ac:dyDescent="0.25">
      <c r="B21" s="10" t="s">
        <v>10</v>
      </c>
      <c r="C21" s="10">
        <f>COUNTIF(C14:C18,"True")</f>
        <v>5</v>
      </c>
      <c r="D21" s="10">
        <f t="shared" ref="D21:W21" si="3">COUNTIF(D14:D18,"True")</f>
        <v>4</v>
      </c>
      <c r="E21" s="10">
        <f t="shared" si="3"/>
        <v>5</v>
      </c>
      <c r="F21" s="10">
        <f t="shared" si="3"/>
        <v>5</v>
      </c>
      <c r="G21" s="10">
        <f t="shared" si="3"/>
        <v>5</v>
      </c>
      <c r="H21" s="10">
        <f t="shared" si="3"/>
        <v>5</v>
      </c>
      <c r="I21" s="10">
        <f t="shared" si="3"/>
        <v>3</v>
      </c>
      <c r="J21" s="10">
        <f t="shared" si="3"/>
        <v>3</v>
      </c>
      <c r="K21" s="10">
        <f t="shared" si="3"/>
        <v>2</v>
      </c>
      <c r="L21" s="10">
        <f t="shared" si="3"/>
        <v>4</v>
      </c>
      <c r="M21" s="10">
        <f t="shared" si="3"/>
        <v>0</v>
      </c>
      <c r="N21" s="10">
        <f t="shared" si="3"/>
        <v>3</v>
      </c>
      <c r="O21" s="10">
        <f t="shared" si="3"/>
        <v>3</v>
      </c>
      <c r="P21" s="10">
        <f t="shared" si="3"/>
        <v>3</v>
      </c>
      <c r="Q21" s="10">
        <f t="shared" si="3"/>
        <v>3</v>
      </c>
      <c r="R21" s="10">
        <f t="shared" si="3"/>
        <v>1</v>
      </c>
      <c r="S21" s="10">
        <f t="shared" si="3"/>
        <v>2</v>
      </c>
      <c r="T21" s="10">
        <f t="shared" si="3"/>
        <v>2</v>
      </c>
      <c r="U21" s="10">
        <f t="shared" si="3"/>
        <v>3</v>
      </c>
      <c r="V21" s="10">
        <f t="shared" si="3"/>
        <v>4</v>
      </c>
      <c r="W21" s="10">
        <f t="shared" si="3"/>
        <v>3</v>
      </c>
    </row>
    <row r="22" spans="2:25" s="10" customFormat="1" x14ac:dyDescent="0.25">
      <c r="B22" s="10" t="s">
        <v>11</v>
      </c>
      <c r="C22" s="11">
        <f>C21/COUNTA(C14:C18)</f>
        <v>1</v>
      </c>
      <c r="D22" s="11">
        <f t="shared" ref="D22:W22" si="4">D21/COUNTA(D14:D18)</f>
        <v>0.8</v>
      </c>
      <c r="E22" s="11">
        <f t="shared" si="4"/>
        <v>1</v>
      </c>
      <c r="F22" s="11">
        <f t="shared" si="4"/>
        <v>1</v>
      </c>
      <c r="G22" s="11">
        <f t="shared" si="4"/>
        <v>1</v>
      </c>
      <c r="H22" s="11">
        <f t="shared" si="4"/>
        <v>1</v>
      </c>
      <c r="I22" s="11">
        <f t="shared" si="4"/>
        <v>0.6</v>
      </c>
      <c r="J22" s="11">
        <f t="shared" si="4"/>
        <v>0.6</v>
      </c>
      <c r="K22" s="11">
        <f t="shared" si="4"/>
        <v>0.4</v>
      </c>
      <c r="L22" s="11">
        <f t="shared" si="4"/>
        <v>0.8</v>
      </c>
      <c r="M22" s="11">
        <f t="shared" si="4"/>
        <v>0</v>
      </c>
      <c r="N22" s="11">
        <f t="shared" si="4"/>
        <v>0.6</v>
      </c>
      <c r="O22" s="11">
        <f t="shared" si="4"/>
        <v>0.6</v>
      </c>
      <c r="P22" s="11">
        <f t="shared" si="4"/>
        <v>0.6</v>
      </c>
      <c r="Q22" s="11">
        <f t="shared" si="4"/>
        <v>0.6</v>
      </c>
      <c r="R22" s="11">
        <f t="shared" si="4"/>
        <v>0.2</v>
      </c>
      <c r="S22" s="11">
        <f t="shared" si="4"/>
        <v>0.4</v>
      </c>
      <c r="T22" s="11">
        <f t="shared" si="4"/>
        <v>0.4</v>
      </c>
      <c r="U22" s="11">
        <f t="shared" si="4"/>
        <v>0.6</v>
      </c>
      <c r="V22" s="11">
        <f t="shared" si="4"/>
        <v>0.8</v>
      </c>
      <c r="W22" s="11">
        <f t="shared" si="4"/>
        <v>0.6</v>
      </c>
    </row>
  </sheetData>
  <mergeCells count="3">
    <mergeCell ref="C11:I11"/>
    <mergeCell ref="J11:P11"/>
    <mergeCell ref="Q11:W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vishwapal7@outlook.com</dc:creator>
  <cp:lastModifiedBy>vishwapal7@outlook.com</cp:lastModifiedBy>
  <dcterms:created xsi:type="dcterms:W3CDTF">2026-10-30T07:42:12Z</dcterms:created>
  <dcterms:modified xsi:type="dcterms:W3CDTF">2026-10-30T08:40:52Z</dcterms:modified>
</cp:coreProperties>
</file>