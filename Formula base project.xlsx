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3efd8dcf8bb8051/Desktop/"/>
    </mc:Choice>
  </mc:AlternateContent>
  <xr:revisionPtr revIDLastSave="0" documentId="8_{E5AFBBEB-4283-442B-9B97-3F1AE697E66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Orders_Raw" sheetId="1" r:id="rId1"/>
    <sheet name="Customer_Master" sheetId="2" r:id="rId2"/>
    <sheet name="Product_Master" sheetId="3" r:id="rId3"/>
    <sheet name="Clean_sheet" sheetId="4" r:id="rId4"/>
    <sheet name="client_formula_data" sheetId="5" r:id="rId5"/>
  </sheets>
  <definedNames>
    <definedName name="_xlnm._FilterDatabase" localSheetId="3" hidden="1">Clean_sheet!$G$1:$G$501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5" l="1" a="1"/>
  <c r="P5" i="5" a="1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" i="5"/>
  <c r="K5" i="5" a="1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5" i="5"/>
  <c r="R9" i="5" l="1"/>
  <c r="R10" i="5"/>
  <c r="R11" i="5"/>
  <c r="R12" i="5"/>
  <c r="R5" i="5"/>
  <c r="R6" i="5"/>
  <c r="R7" i="5"/>
  <c r="R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<sst xmlns="http://schemas.openxmlformats.org/spreadsheetml/2006/main" count="12233" uniqueCount="715">
  <si>
    <t>Order ID</t>
  </si>
  <si>
    <t>Order Date</t>
  </si>
  <si>
    <t>Customer ID</t>
  </si>
  <si>
    <t>Gender</t>
  </si>
  <si>
    <t>Age</t>
  </si>
  <si>
    <t>City</t>
  </si>
  <si>
    <t>Product Category</t>
  </si>
  <si>
    <t>Product</t>
  </si>
  <si>
    <t>Quantity</t>
  </si>
  <si>
    <t>Price per Unit</t>
  </si>
  <si>
    <t>Total Amount</t>
  </si>
  <si>
    <t>Discount %</t>
  </si>
  <si>
    <t>Payment Method</t>
  </si>
  <si>
    <t>Order Status</t>
  </si>
  <si>
    <t>Sales Channel</t>
  </si>
  <si>
    <t>Customer Name</t>
  </si>
  <si>
    <t>ORD10001</t>
  </si>
  <si>
    <t>CUST1018</t>
  </si>
  <si>
    <t>Male</t>
  </si>
  <si>
    <t>Pune</t>
  </si>
  <si>
    <t>Electronics</t>
  </si>
  <si>
    <t>Wireless Mouse</t>
  </si>
  <si>
    <t>Cash on Delivery</t>
  </si>
  <si>
    <t>Delivered</t>
  </si>
  <si>
    <t>Website</t>
  </si>
  <si>
    <t>Aditya</t>
  </si>
  <si>
    <t>ORD10002</t>
  </si>
  <si>
    <t>CUST1072</t>
  </si>
  <si>
    <t>Aurangabad</t>
  </si>
  <si>
    <t>Home &amp; Kitchen</t>
  </si>
  <si>
    <t>Storage Box</t>
  </si>
  <si>
    <t>Cancelled</t>
  </si>
  <si>
    <t>Kunal</t>
  </si>
  <si>
    <t>ORD10003</t>
  </si>
  <si>
    <t>CUST1098</t>
  </si>
  <si>
    <t>Female</t>
  </si>
  <si>
    <t>Beauty</t>
  </si>
  <si>
    <t>Body Lotion</t>
  </si>
  <si>
    <t>UPI</t>
  </si>
  <si>
    <t>Mobile App</t>
  </si>
  <si>
    <t>Meera</t>
  </si>
  <si>
    <t>ORD10004</t>
  </si>
  <si>
    <t>CUST1049</t>
  </si>
  <si>
    <t>Navi Mumbai</t>
  </si>
  <si>
    <t>Clothing</t>
  </si>
  <si>
    <t>T-Shirt</t>
  </si>
  <si>
    <t>Debit Card</t>
  </si>
  <si>
    <t>Shipped</t>
  </si>
  <si>
    <t>Marketplace</t>
  </si>
  <si>
    <t>ORD10005</t>
  </si>
  <si>
    <t>CUST1013</t>
  </si>
  <si>
    <t>Kolhapur</t>
  </si>
  <si>
    <t>Keyboard</t>
  </si>
  <si>
    <t>Credit Card</t>
  </si>
  <si>
    <t>Akash</t>
  </si>
  <si>
    <t>ORD10006</t>
  </si>
  <si>
    <t>CUST1069</t>
  </si>
  <si>
    <t>Ananya</t>
  </si>
  <si>
    <t>ORD10007</t>
  </si>
  <si>
    <t>CUST1035</t>
  </si>
  <si>
    <t>Nagpur</t>
  </si>
  <si>
    <t>Returned</t>
  </si>
  <si>
    <t>Sneha</t>
  </si>
  <si>
    <t>ORD10008</t>
  </si>
  <si>
    <t>Mixer</t>
  </si>
  <si>
    <t>Rahul</t>
  </si>
  <si>
    <t>ORD10009</t>
  </si>
  <si>
    <t>CUST1020</t>
  </si>
  <si>
    <t>Grocery</t>
  </si>
  <si>
    <t>Cooking Oil</t>
  </si>
  <si>
    <t>Yash</t>
  </si>
  <si>
    <t>ORD10010</t>
  </si>
  <si>
    <t>CUST1097</t>
  </si>
  <si>
    <t>Tea</t>
  </si>
  <si>
    <t>ORD10011</t>
  </si>
  <si>
    <t>CUST1014</t>
  </si>
  <si>
    <t>Thane</t>
  </si>
  <si>
    <t>Headphones</t>
  </si>
  <si>
    <t>Riya</t>
  </si>
  <si>
    <t>ORD10012</t>
  </si>
  <si>
    <t>CUST1015</t>
  </si>
  <si>
    <t>USB Hub</t>
  </si>
  <si>
    <t>Pooja</t>
  </si>
  <si>
    <t>ORD10013</t>
  </si>
  <si>
    <t>CUST1061</t>
  </si>
  <si>
    <t>Net Banking</t>
  </si>
  <si>
    <t>Om</t>
  </si>
  <si>
    <t>ORD10014</t>
  </si>
  <si>
    <t>CUST1016</t>
  </si>
  <si>
    <t>Sahil</t>
  </si>
  <si>
    <t>ORD10015</t>
  </si>
  <si>
    <t>CUST1005</t>
  </si>
  <si>
    <t>ORD10016</t>
  </si>
  <si>
    <t>CUST1053</t>
  </si>
  <si>
    <t>Dry Fruits</t>
  </si>
  <si>
    <t>ORD10017</t>
  </si>
  <si>
    <t>ORD10018</t>
  </si>
  <si>
    <t>CUST1071</t>
  </si>
  <si>
    <t>Mumbai</t>
  </si>
  <si>
    <t>Jacket</t>
  </si>
  <si>
    <t xml:space="preserve">  Pooja  </t>
  </si>
  <si>
    <t>ORD10019</t>
  </si>
  <si>
    <t>Hair Serum</t>
  </si>
  <si>
    <t>Kavya</t>
  </si>
  <si>
    <t>ORD10020</t>
  </si>
  <si>
    <t>CUST1008</t>
  </si>
  <si>
    <t>ORD10021</t>
  </si>
  <si>
    <t>CUST1009</t>
  </si>
  <si>
    <t>Electric Kettle</t>
  </si>
  <si>
    <t>ORD10022</t>
  </si>
  <si>
    <t>CUST1075</t>
  </si>
  <si>
    <t>ORD10023</t>
  </si>
  <si>
    <t>CUST1059</t>
  </si>
  <si>
    <t>ORD10024</t>
  </si>
  <si>
    <t>CUST1070</t>
  </si>
  <si>
    <t>ORD10025</t>
  </si>
  <si>
    <t>CUST1037</t>
  </si>
  <si>
    <t>Vihan</t>
  </si>
  <si>
    <t>ORD10026</t>
  </si>
  <si>
    <t>CUST1043</t>
  </si>
  <si>
    <t>Smart Watch</t>
  </si>
  <si>
    <t>Aarav</t>
  </si>
  <si>
    <t>ORD10027</t>
  </si>
  <si>
    <t>CUST1048</t>
  </si>
  <si>
    <t>Nashik</t>
  </si>
  <si>
    <t>Isha</t>
  </si>
  <si>
    <t>ORD10028</t>
  </si>
  <si>
    <t>ORD10029</t>
  </si>
  <si>
    <t>ORD10030</t>
  </si>
  <si>
    <t>CUST1052</t>
  </si>
  <si>
    <t>ORD10031</t>
  </si>
  <si>
    <t>ORD10032</t>
  </si>
  <si>
    <t>CUST1074</t>
  </si>
  <si>
    <t>Sunscreen</t>
  </si>
  <si>
    <t>Neha</t>
  </si>
  <si>
    <t>ORD10033</t>
  </si>
  <si>
    <t>ORD10034</t>
  </si>
  <si>
    <t>Coffee</t>
  </si>
  <si>
    <t>ORD10035</t>
  </si>
  <si>
    <t>CUST1042</t>
  </si>
  <si>
    <t>Water Bottle</t>
  </si>
  <si>
    <t>ORD10036</t>
  </si>
  <si>
    <t>CUST1080</t>
  </si>
  <si>
    <t>ORD10037</t>
  </si>
  <si>
    <t>ORD10038</t>
  </si>
  <si>
    <t>CUST1090</t>
  </si>
  <si>
    <t>ORD10039</t>
  </si>
  <si>
    <t>CUST1093</t>
  </si>
  <si>
    <t xml:space="preserve"> Kolhapur </t>
  </si>
  <si>
    <t>ORD10040</t>
  </si>
  <si>
    <t>CUST1036</t>
  </si>
  <si>
    <t>Kurta</t>
  </si>
  <si>
    <t>ORD10041</t>
  </si>
  <si>
    <t>CUST1089</t>
  </si>
  <si>
    <t>ORD10042</t>
  </si>
  <si>
    <t>CUST1099</t>
  </si>
  <si>
    <t>Face Wash</t>
  </si>
  <si>
    <t>Priya</t>
  </si>
  <si>
    <t>ORD10043</t>
  </si>
  <si>
    <t>CUST1063</t>
  </si>
  <si>
    <t>ORD10044</t>
  </si>
  <si>
    <t>CUST1004</t>
  </si>
  <si>
    <t>ORD10045</t>
  </si>
  <si>
    <t>ORD10046</t>
  </si>
  <si>
    <t>CUST1084</t>
  </si>
  <si>
    <t>ORD10047</t>
  </si>
  <si>
    <t>ORD10048</t>
  </si>
  <si>
    <t>CUST1087</t>
  </si>
  <si>
    <t>ORD10049</t>
  </si>
  <si>
    <t>ORD10050</t>
  </si>
  <si>
    <t>ORD10051</t>
  </si>
  <si>
    <t>Biscuits</t>
  </si>
  <si>
    <t>ORD10052</t>
  </si>
  <si>
    <t>CUST1046</t>
  </si>
  <si>
    <t>ORD10053</t>
  </si>
  <si>
    <t>ORD10054</t>
  </si>
  <si>
    <t>ORD10055</t>
  </si>
  <si>
    <t>Jeans</t>
  </si>
  <si>
    <t>ORD10056</t>
  </si>
  <si>
    <t>ORD10057</t>
  </si>
  <si>
    <t>CUST1038</t>
  </si>
  <si>
    <t>ORD10058</t>
  </si>
  <si>
    <t>CUST1062</t>
  </si>
  <si>
    <t>ORD10059</t>
  </si>
  <si>
    <t>ORD10060</t>
  </si>
  <si>
    <t>ORD10061</t>
  </si>
  <si>
    <t>CUST1058</t>
  </si>
  <si>
    <t>ORD10062</t>
  </si>
  <si>
    <t>CUST1085</t>
  </si>
  <si>
    <t>ORD10063</t>
  </si>
  <si>
    <t>CUST1096</t>
  </si>
  <si>
    <t>ORD10064</t>
  </si>
  <si>
    <t>CUST1006</t>
  </si>
  <si>
    <t>Aditi</t>
  </si>
  <si>
    <t>ORD10065</t>
  </si>
  <si>
    <t>ORD10066</t>
  </si>
  <si>
    <t>ORD10067</t>
  </si>
  <si>
    <t>CUST1033</t>
  </si>
  <si>
    <t>ORD10068</t>
  </si>
  <si>
    <t>CUST1081</t>
  </si>
  <si>
    <t>Cookware Set</t>
  </si>
  <si>
    <t>ORD10069</t>
  </si>
  <si>
    <t>CUST1031</t>
  </si>
  <si>
    <t>Rohan</t>
  </si>
  <si>
    <t>ORD10070</t>
  </si>
  <si>
    <t>CUST1066</t>
  </si>
  <si>
    <t>ORD10071</t>
  </si>
  <si>
    <t>ORD10072</t>
  </si>
  <si>
    <t>ORD10073</t>
  </si>
  <si>
    <t>CUST1100</t>
  </si>
  <si>
    <t>upi</t>
  </si>
  <si>
    <t>ORD10074</t>
  </si>
  <si>
    <t>ORD10075</t>
  </si>
  <si>
    <t>CUST1044</t>
  </si>
  <si>
    <t>ORD10076</t>
  </si>
  <si>
    <t>ORD10077</t>
  </si>
  <si>
    <t>ORD10078</t>
  </si>
  <si>
    <t>ORD10079</t>
  </si>
  <si>
    <t>CUST1021</t>
  </si>
  <si>
    <t>ORD10080</t>
  </si>
  <si>
    <t>ORD10081</t>
  </si>
  <si>
    <t>CUST1078</t>
  </si>
  <si>
    <t>ORD10082</t>
  </si>
  <si>
    <t>ORD10083</t>
  </si>
  <si>
    <t>CUST1023</t>
  </si>
  <si>
    <t>ORD10084</t>
  </si>
  <si>
    <t>CUST1010</t>
  </si>
  <si>
    <t>ORD10085</t>
  </si>
  <si>
    <t>ORD10086</t>
  </si>
  <si>
    <t>CUST1083</t>
  </si>
  <si>
    <t>ORD10087</t>
  </si>
  <si>
    <t>ORD10088</t>
  </si>
  <si>
    <t>ORD10089</t>
  </si>
  <si>
    <t>ORD10090</t>
  </si>
  <si>
    <t>ORD10091</t>
  </si>
  <si>
    <t>Shirt</t>
  </si>
  <si>
    <t>ORD10092</t>
  </si>
  <si>
    <t>CUST1017</t>
  </si>
  <si>
    <t>ORD10093</t>
  </si>
  <si>
    <t>CUST1079</t>
  </si>
  <si>
    <t>ORD10094</t>
  </si>
  <si>
    <t>ORD10095</t>
  </si>
  <si>
    <t>ORD10096</t>
  </si>
  <si>
    <t>CUST1054</t>
  </si>
  <si>
    <t>ORD10097</t>
  </si>
  <si>
    <t>ORD10098</t>
  </si>
  <si>
    <t>ORD10099</t>
  </si>
  <si>
    <t>ORD10100</t>
  </si>
  <si>
    <t>ORD10101</t>
  </si>
  <si>
    <t>ORD10102</t>
  </si>
  <si>
    <t>CUST1007</t>
  </si>
  <si>
    <t>ORD10103</t>
  </si>
  <si>
    <t>ORD10104</t>
  </si>
  <si>
    <t>CUST1028</t>
  </si>
  <si>
    <t>ORD10105</t>
  </si>
  <si>
    <t>CUST1030</t>
  </si>
  <si>
    <t>ORD10106</t>
  </si>
  <si>
    <t>CUST1091</t>
  </si>
  <si>
    <t>ORD10107</t>
  </si>
  <si>
    <t>CUST1032</t>
  </si>
  <si>
    <t>ORD10108</t>
  </si>
  <si>
    <t>CUST1082</t>
  </si>
  <si>
    <t>ORD10109</t>
  </si>
  <si>
    <t>ORD10110</t>
  </si>
  <si>
    <t>ORD10111</t>
  </si>
  <si>
    <t>ORD10112</t>
  </si>
  <si>
    <t>CUST1025</t>
  </si>
  <si>
    <t>home &amp; kitchen</t>
  </si>
  <si>
    <t>ORD10113</t>
  </si>
  <si>
    <t>ORD10114</t>
  </si>
  <si>
    <t>CUST1077</t>
  </si>
  <si>
    <t>ORD10115</t>
  </si>
  <si>
    <t>CUST1011</t>
  </si>
  <si>
    <t>ORD10116</t>
  </si>
  <si>
    <t>CUST1095</t>
  </si>
  <si>
    <t>ORD10117</t>
  </si>
  <si>
    <t>CUST1029</t>
  </si>
  <si>
    <t>ORD10118</t>
  </si>
  <si>
    <t>ORD10119</t>
  </si>
  <si>
    <t>ORD10120</t>
  </si>
  <si>
    <t>CUST1026</t>
  </si>
  <si>
    <t>ORD10121</t>
  </si>
  <si>
    <t>ORD10122</t>
  </si>
  <si>
    <t>CUST1050</t>
  </si>
  <si>
    <t>ORD10123</t>
  </si>
  <si>
    <t>ORD10124</t>
  </si>
  <si>
    <t>CUST1068</t>
  </si>
  <si>
    <t>ORD10125</t>
  </si>
  <si>
    <t>CUST1064</t>
  </si>
  <si>
    <t>ORD10126</t>
  </si>
  <si>
    <t>CUST1086</t>
  </si>
  <si>
    <t>ORD10127</t>
  </si>
  <si>
    <t>ORD10128</t>
  </si>
  <si>
    <t>ORD10129</t>
  </si>
  <si>
    <t>CUST1040</t>
  </si>
  <si>
    <t>ORD10130</t>
  </si>
  <si>
    <t>CUST1056</t>
  </si>
  <si>
    <t>ORD10131</t>
  </si>
  <si>
    <t>ORD10132</t>
  </si>
  <si>
    <t>CUST1092</t>
  </si>
  <si>
    <t>ORD10133</t>
  </si>
  <si>
    <t>ORD10134</t>
  </si>
  <si>
    <t>CUST1073</t>
  </si>
  <si>
    <t>ORD10135</t>
  </si>
  <si>
    <t>CUST1041</t>
  </si>
  <si>
    <t>ORD10136</t>
  </si>
  <si>
    <t>ORD10137</t>
  </si>
  <si>
    <t>ORD10138</t>
  </si>
  <si>
    <t>ORD10139</t>
  </si>
  <si>
    <t>ORD10140</t>
  </si>
  <si>
    <t>CUST1076</t>
  </si>
  <si>
    <t>ORD10141</t>
  </si>
  <si>
    <t>ORD10142</t>
  </si>
  <si>
    <t>CUST1012</t>
  </si>
  <si>
    <t>ORD10143</t>
  </si>
  <si>
    <t>CUST1034</t>
  </si>
  <si>
    <t>ORD10144</t>
  </si>
  <si>
    <t>ORD10145</t>
  </si>
  <si>
    <t>ORD10146</t>
  </si>
  <si>
    <t>CUST1019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</si>
  <si>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</si>
  <si>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</si>
  <si>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</si>
  <si>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</si>
  <si>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</si>
  <si>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</si>
  <si>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</si>
  <si>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</si>
  <si>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</si>
  <si>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CUST1057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</si>
  <si>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</si>
  <si>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</si>
  <si>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</si>
  <si>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</si>
  <si>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</si>
  <si>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</si>
  <si>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</si>
  <si>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</si>
  <si>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</si>
  <si>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</si>
  <si>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</si>
  <si>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</si>
  <si>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CUST1047</t>
  </si>
  <si>
    <t>ORD10168</t>
  </si>
  <si>
    <t>ORD10169</t>
  </si>
  <si>
    <t>ORD10170</t>
  </si>
  <si>
    <t>ORD10171</t>
  </si>
  <si>
    <t>ORD10172</t>
  </si>
  <si>
    <t>ORD10173</t>
  </si>
  <si>
    <t>ORD10174</t>
  </si>
  <si>
    <t>CUST1045</t>
  </si>
  <si>
    <t>ORD10175</t>
  </si>
  <si>
    <t>ORD10176</t>
  </si>
  <si>
    <t>CUST1027</t>
  </si>
  <si>
    <t>ORD10177</t>
  </si>
  <si>
    <t>Shampoo</t>
  </si>
  <si>
    <t>ORD10178</t>
  </si>
  <si>
    <t>CUST1067</t>
  </si>
  <si>
    <t>ORD10179</t>
  </si>
  <si>
    <t>ORD10180</t>
  </si>
  <si>
    <t>CUST1039</t>
  </si>
  <si>
    <t>ORD10181</t>
  </si>
  <si>
    <t>ORD10182</t>
  </si>
  <si>
    <t>ORD10183</t>
  </si>
  <si>
    <t>ORD10184</t>
  </si>
  <si>
    <t>ORD10185</t>
  </si>
  <si>
    <t>CUST1003</t>
  </si>
  <si>
    <t>ORD10186</t>
  </si>
  <si>
    <t>ORD10187</t>
  </si>
  <si>
    <t>ORD10188</t>
  </si>
  <si>
    <t>CUST1065</t>
  </si>
  <si>
    <t>ORD10189</t>
  </si>
  <si>
    <t>CUST1002</t>
  </si>
  <si>
    <t>ORD10190</t>
  </si>
  <si>
    <t>ORD10191</t>
  </si>
  <si>
    <t>ORD10192</t>
  </si>
  <si>
    <t>ORD10193</t>
  </si>
  <si>
    <t>CUST1088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</si>
  <si>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</si>
  <si>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</si>
  <si>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</si>
  <si>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</si>
  <si>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</si>
  <si>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</si>
  <si>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</si>
  <si>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</si>
  <si>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</si>
  <si>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</si>
  <si>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CUST1051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</si>
  <si>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</si>
  <si>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</si>
  <si>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</si>
  <si>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</si>
  <si>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</si>
  <si>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</si>
  <si>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</si>
  <si>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</si>
  <si>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</si>
  <si>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</si>
  <si>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</si>
  <si>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</si>
  <si>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</si>
  <si>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</si>
  <si>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</si>
  <si>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</si>
  <si>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</si>
  <si>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</si>
  <si>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</si>
  <si>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</si>
  <si>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</si>
  <si>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</si>
  <si>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</si>
  <si>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</si>
  <si>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</si>
  <si>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CUST1022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</si>
  <si>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</si>
  <si>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</si>
  <si>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</si>
  <si>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</si>
  <si>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</si>
  <si>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</si>
  <si>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</si>
  <si>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</si>
  <si>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</si>
  <si>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</si>
  <si>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</si>
  <si>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</si>
  <si>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</si>
  <si>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</si>
  <si>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</si>
  <si>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</si>
  <si>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</si>
  <si>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CUST1001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</si>
  <si>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</si>
  <si>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</si>
  <si>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</si>
  <si>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</si>
  <si>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</si>
  <si>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</si>
  <si>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</si>
  <si>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</si>
  <si>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</si>
  <si>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</si>
  <si>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</si>
  <si>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</si>
  <si>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</si>
  <si>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</si>
  <si>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</si>
  <si>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</si>
  <si>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</si>
  <si>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</si>
  <si>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</si>
  <si>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CUST1024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</si>
  <si>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</si>
  <si>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</si>
  <si>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</si>
  <si>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</si>
  <si>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</si>
  <si>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</si>
  <si>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</si>
  <si>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</si>
  <si>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</si>
  <si>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</si>
  <si>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</si>
  <si>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</si>
  <si>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</si>
  <si>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</si>
  <si>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</si>
  <si>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</si>
  <si>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</si>
  <si>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</si>
  <si>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</si>
  <si>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</si>
  <si>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</si>
  <si>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</si>
  <si>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</si>
  <si>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</si>
  <si>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</si>
  <si>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</si>
  <si>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</si>
  <si>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</si>
  <si>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</si>
  <si>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</si>
  <si>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</si>
  <si>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</si>
  <si>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</si>
  <si>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</si>
  <si>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</si>
  <si>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</si>
  <si>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</si>
  <si>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</si>
  <si>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</si>
  <si>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</si>
  <si>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</si>
  <si>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</si>
  <si>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CUST1094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</si>
  <si>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</si>
  <si>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</si>
  <si>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</si>
  <si>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</si>
  <si>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</si>
  <si>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</si>
  <si>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</si>
  <si>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</si>
  <si>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</si>
  <si>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</si>
  <si>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</si>
  <si>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</si>
  <si>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</si>
  <si>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</si>
  <si>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</si>
  <si>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</si>
  <si>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</si>
  <si>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</si>
  <si>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</si>
  <si>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</si>
  <si>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</si>
  <si>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</si>
  <si>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</si>
  <si>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</si>
  <si>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</si>
  <si>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</si>
  <si>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</si>
  <si>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</si>
  <si>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</si>
  <si>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</si>
  <si>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</si>
  <si>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</si>
  <si>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</si>
  <si>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</si>
  <si>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</si>
  <si>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</si>
  <si>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</si>
  <si>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</si>
  <si>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</si>
  <si>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</si>
  <si>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</si>
  <si>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</si>
  <si>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</si>
  <si>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</si>
  <si>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</si>
  <si>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</si>
  <si>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</si>
  <si>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</si>
  <si>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</si>
  <si>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</si>
  <si>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</si>
  <si>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</si>
  <si>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</si>
  <si>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</si>
  <si>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</si>
  <si>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</si>
  <si>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</si>
  <si>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</si>
  <si>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</si>
  <si>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</si>
  <si>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</si>
  <si>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</si>
  <si>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</si>
  <si>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</si>
  <si>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</si>
  <si>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</si>
  <si>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</si>
  <si>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</si>
  <si>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</si>
  <si>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</si>
  <si>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</si>
  <si>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</si>
  <si>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</si>
  <si>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</si>
  <si>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</si>
  <si>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</si>
  <si>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</si>
  <si>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</si>
  <si>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</si>
  <si>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</si>
  <si>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</si>
  <si>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</si>
  <si>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</si>
  <si>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</si>
  <si>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</si>
  <si>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</si>
  <si>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</si>
  <si>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</si>
  <si>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</si>
  <si>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</si>
  <si>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</si>
  <si>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</si>
  <si>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</si>
  <si>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</si>
  <si>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</si>
  <si>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</si>
  <si>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</si>
  <si>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</si>
  <si>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</si>
  <si>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</si>
  <si>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</si>
  <si>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</si>
  <si>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</si>
  <si>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</si>
  <si>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</si>
  <si>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</si>
  <si>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</si>
  <si>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</si>
  <si>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</si>
  <si>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</si>
  <si>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CUST1055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</si>
  <si>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</si>
  <si>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</si>
  <si>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</si>
  <si>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</si>
  <si>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</si>
  <si>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</si>
  <si>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</si>
  <si>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</si>
  <si>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</si>
  <si>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</si>
  <si>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</si>
  <si>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</si>
  <si>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</si>
  <si>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</si>
  <si>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</si>
  <si>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</si>
  <si>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</si>
  <si>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</si>
  <si>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</si>
  <si>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</si>
  <si>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</si>
  <si>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</si>
  <si>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</si>
  <si>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</si>
  <si>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</si>
  <si>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</si>
  <si>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</si>
  <si>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</si>
  <si>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</si>
  <si>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</si>
  <si>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</si>
  <si>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</si>
  <si>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</si>
  <si>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ORD10450</t>
  </si>
  <si>
    <t>ORD10451</t>
  </si>
  <si>
    <t>ORD10452</t>
  </si>
  <si>
    <t>ORD10453</t>
  </si>
  <si>
    <t>ORD10454</t>
  </si>
  <si>
    <t>ORD10455</t>
  </si>
  <si>
    <t>ORD10456</t>
  </si>
  <si>
    <t xml:space="preserve">  Ananya  </t>
  </si>
  <si>
    <t>ORD10457</t>
  </si>
  <si>
    <t>ORD10458</t>
  </si>
  <si>
    <t>ORD10459</t>
  </si>
  <si>
    <t>ORD10460</t>
  </si>
  <si>
    <t>ORD10461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</si>
  <si>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</si>
  <si>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</si>
  <si>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</si>
  <si>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</si>
  <si>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</si>
  <si>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</si>
  <si>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</si>
  <si>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</si>
  <si>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</si>
  <si>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</si>
  <si>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</si>
  <si>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</si>
  <si>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</si>
  <si>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</si>
  <si>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</si>
  <si>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</si>
  <si>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</si>
  <si>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</si>
  <si>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</si>
  <si>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</si>
  <si>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</si>
  <si>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</si>
  <si>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ORD10484</t>
  </si>
  <si>
    <t>ORD10485</t>
  </si>
  <si>
    <t>CUST1060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</si>
  <si>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</si>
  <si>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</si>
  <si>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</si>
  <si>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</si>
  <si>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</si>
  <si>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</si>
  <si>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</si>
  <si>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</si>
  <si>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</si>
  <si>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</si>
  <si>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</si>
  <si>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</si>
  <si>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</si>
  <si>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</si>
  <si>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</si>
  <si>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Customer City</t>
  </si>
  <si>
    <t>Customer Segment</t>
  </si>
  <si>
    <t>Account Status</t>
  </si>
  <si>
    <t>Regular</t>
  </si>
  <si>
    <t>Active</t>
  </si>
  <si>
    <t>Silver</t>
  </si>
  <si>
    <t>Inactive</t>
  </si>
  <si>
    <t>Platinum</t>
  </si>
  <si>
    <t>Gold</t>
  </si>
  <si>
    <t>Category</t>
  </si>
  <si>
    <t>Standard Price</t>
  </si>
  <si>
    <t>Price Band</t>
  </si>
  <si>
    <t>Low</t>
  </si>
  <si>
    <t>Medium</t>
  </si>
  <si>
    <t>High</t>
  </si>
  <si>
    <t>Time to place</t>
  </si>
  <si>
    <t>Total sale</t>
  </si>
  <si>
    <t>Total Sales</t>
  </si>
  <si>
    <t>Countif</t>
  </si>
  <si>
    <t>Xlookup</t>
  </si>
  <si>
    <t>Sumif</t>
  </si>
  <si>
    <t>Sumifs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</si>
</sst>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20"/>
      <color theme="1"/>
      <name val="Calibri"/>
      <family val="2"/>
      <scheme val="minor"/>
    </font>
    <font>
      <b/>
      <sz val="22"/>
      <color theme="1"/>
      <name val="Times New Roman"/>
      <family val="1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/>
    <xf numFmtId="0" fontId="0" fillId="2" borderId="1" xfId="0" applyFill="1" applyBorder="1"/>
    <xf numFmtId="0" fontId="1" fillId="0" borderId="3" xfId="0" applyFont="1" applyBorder="1" applyAlignment="1">
      <alignment horizontal="center" vertical="top"/>
    </xf>
    <xf numFmtId="165" fontId="1" fillId="0" borderId="3" xfId="0" applyNumberFormat="1" applyFont="1" applyBorder="1" applyAlignment="1">
      <alignment horizontal="center" vertical="top"/>
    </xf>
    <xf numFmtId="0" fontId="5" fillId="3" borderId="0" xfId="0" applyFont="1" applyFill="1" applyAlignment="1">
      <alignment horizontal="center" vertical="center" wrapText="1" readingOrder="1"/>
    </xf>
    <xf numFmtId="0" fontId="6" fillId="3" borderId="0" xfId="0" applyFont="1" applyFill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7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0" fillId="0" borderId="0" xfId="0" applyAlignment="1">
      <alignment readingOrder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83B41-C9A6-4F7B-B9DE-658DDEE8BF41}" name="Table1" displayName="Table1" ref="A1:P501" totalsRowShown="0" headerRowDxfId="0" headerRowBorderDxfId="2" tableBorderDxfId="3">
  <autoFilter ref="A1:P501" xr:uid="{B5A83B41-C9A6-4F7B-B9DE-658DDEE8BF41}"/>
  <tableColumns count="16">
    <tableColumn id="1" xr3:uid="{36FCD2D5-D0FB-4C70-A071-1D9B23BBAEB7}" name="Order ID"/>
    <tableColumn id="2" xr3:uid="{402C6923-2943-4EDC-A7AD-B137CD464AC9}" name="Order Date" dataDxfId="1"/>
    <tableColumn id="3" xr3:uid="{FC2D604D-090F-44BE-91EA-854CC49DFA6E}" name="Customer ID"/>
    <tableColumn id="4" xr3:uid="{098100B1-7A0B-4D79-8B4A-36878DA797F6}" name="Gender"/>
    <tableColumn id="5" xr3:uid="{D45BA2BA-AF01-4637-8B3B-5425E452A9E7}" name="Age"/>
    <tableColumn id="6" xr3:uid="{8259085E-038B-450B-AB42-6BA46C089DF4}" name="City"/>
    <tableColumn id="7" xr3:uid="{DE7B90C8-C4FD-4496-8CE2-B93B143694C4}" name="Product Category"/>
    <tableColumn id="8" xr3:uid="{7611DEEA-DD2A-47E5-9CC4-F63C95C8B910}" name="Product"/>
    <tableColumn id="9" xr3:uid="{10A4DD47-70F4-4923-A893-5C314FAF6865}" name="Quantity"/>
    <tableColumn id="10" xr3:uid="{EF06FF83-2F89-4AE2-8381-34048FADAE56}" name="Price per Unit"/>
    <tableColumn id="11" xr3:uid="{42B8585D-5E7C-49A5-B991-7441103AAB72}" name="Total Amount"/>
    <tableColumn id="12" xr3:uid="{D8918B43-517B-44B7-9C4B-327F9DD0AC3F}" name="Discount %"/>
    <tableColumn id="13" xr3:uid="{BDB0A901-87ED-4302-8683-39F7F833343D}" name="Payment Method"/>
    <tableColumn id="14" xr3:uid="{9A93E9B9-D9F8-4529-A22D-E108F80E07DC}" name="Order Status"/>
    <tableColumn id="15" xr3:uid="{53B984A7-DE40-4A55-AB9F-91D60279134B}" name="Sales Channel"/>
    <tableColumn id="16" xr3:uid="{2CBE6C17-B7F9-41DB-A9D6-3C3E9CC36845}" name="Custom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workbookViewId="0">
      <selection activeCell="D9" sqref="A1:P50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s="2">
        <v>45772</v>
      </c>
      <c r="C2" t="s">
        <v>17</v>
      </c>
      <c r="D2" t="s">
        <v>18</v>
      </c>
      <c r="E2">
        <v>52</v>
      </c>
      <c r="F2" t="s">
        <v>19</v>
      </c>
      <c r="G2" t="s">
        <v>20</v>
      </c>
      <c r="H2" t="s">
        <v>21</v>
      </c>
      <c r="I2">
        <v>3</v>
      </c>
      <c r="J2">
        <v>399</v>
      </c>
      <c r="K2">
        <v>1197</v>
      </c>
      <c r="L2">
        <v>20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25">
      <c r="A3" t="s">
        <v>26</v>
      </c>
      <c r="B3" s="2">
        <v>45671</v>
      </c>
      <c r="C3" t="s">
        <v>27</v>
      </c>
      <c r="D3" t="s">
        <v>18</v>
      </c>
      <c r="E3">
        <v>59</v>
      </c>
      <c r="F3" t="s">
        <v>28</v>
      </c>
      <c r="G3" t="s">
        <v>29</v>
      </c>
      <c r="H3" t="s">
        <v>30</v>
      </c>
      <c r="I3">
        <v>5</v>
      </c>
      <c r="J3">
        <v>1499</v>
      </c>
      <c r="K3">
        <v>7495</v>
      </c>
      <c r="L3">
        <v>5</v>
      </c>
      <c r="M3" t="s">
        <v>22</v>
      </c>
      <c r="N3" t="s">
        <v>31</v>
      </c>
      <c r="O3" t="s">
        <v>24</v>
      </c>
      <c r="P3" t="s">
        <v>32</v>
      </c>
    </row>
    <row r="4" spans="1:16" x14ac:dyDescent="0.25">
      <c r="A4" t="s">
        <v>33</v>
      </c>
      <c r="B4" s="2">
        <v>45768</v>
      </c>
      <c r="C4" t="s">
        <v>34</v>
      </c>
      <c r="D4" t="s">
        <v>35</v>
      </c>
      <c r="E4">
        <v>24</v>
      </c>
      <c r="F4" t="s">
        <v>19</v>
      </c>
      <c r="G4" t="s">
        <v>36</v>
      </c>
      <c r="H4" t="s">
        <v>37</v>
      </c>
      <c r="I4">
        <v>3</v>
      </c>
      <c r="J4">
        <v>299</v>
      </c>
      <c r="K4">
        <v>897</v>
      </c>
      <c r="L4">
        <v>15</v>
      </c>
      <c r="M4" t="s">
        <v>38</v>
      </c>
      <c r="N4" t="s">
        <v>31</v>
      </c>
      <c r="O4" t="s">
        <v>39</v>
      </c>
      <c r="P4" t="s">
        <v>40</v>
      </c>
    </row>
    <row r="5" spans="1:16" x14ac:dyDescent="0.25">
      <c r="A5" t="s">
        <v>41</v>
      </c>
      <c r="B5" s="2">
        <v>45721</v>
      </c>
      <c r="C5" t="s">
        <v>42</v>
      </c>
      <c r="D5" t="s">
        <v>18</v>
      </c>
      <c r="E5">
        <v>53</v>
      </c>
      <c r="F5" t="s">
        <v>43</v>
      </c>
      <c r="G5" t="s">
        <v>44</v>
      </c>
      <c r="H5" t="s">
        <v>45</v>
      </c>
      <c r="I5">
        <v>4</v>
      </c>
      <c r="J5">
        <v>1299</v>
      </c>
      <c r="K5">
        <v>5196</v>
      </c>
      <c r="L5">
        <v>20</v>
      </c>
      <c r="M5" t="s">
        <v>46</v>
      </c>
      <c r="N5" t="s">
        <v>47</v>
      </c>
      <c r="O5" t="s">
        <v>48</v>
      </c>
      <c r="P5" t="s">
        <v>25</v>
      </c>
    </row>
    <row r="6" spans="1:16" x14ac:dyDescent="0.25">
      <c r="A6" t="s">
        <v>49</v>
      </c>
      <c r="B6" s="2">
        <v>45777</v>
      </c>
      <c r="C6" t="s">
        <v>50</v>
      </c>
      <c r="D6" t="s">
        <v>35</v>
      </c>
      <c r="E6">
        <v>35</v>
      </c>
      <c r="F6" t="s">
        <v>51</v>
      </c>
      <c r="G6" t="s">
        <v>20</v>
      </c>
      <c r="H6" t="s">
        <v>52</v>
      </c>
      <c r="I6">
        <v>3</v>
      </c>
      <c r="J6">
        <v>249</v>
      </c>
      <c r="K6">
        <v>747</v>
      </c>
      <c r="L6">
        <v>10</v>
      </c>
      <c r="M6" t="s">
        <v>53</v>
      </c>
      <c r="N6" t="s">
        <v>31</v>
      </c>
      <c r="O6" t="s">
        <v>39</v>
      </c>
      <c r="P6" t="s">
        <v>54</v>
      </c>
    </row>
    <row r="7" spans="1:16" x14ac:dyDescent="0.25">
      <c r="A7" t="s">
        <v>55</v>
      </c>
      <c r="B7" s="2">
        <v>45745</v>
      </c>
      <c r="C7" t="s">
        <v>56</v>
      </c>
      <c r="D7" t="s">
        <v>18</v>
      </c>
      <c r="E7">
        <v>28</v>
      </c>
      <c r="F7" t="s">
        <v>51</v>
      </c>
      <c r="G7" t="s">
        <v>44</v>
      </c>
      <c r="H7" t="s">
        <v>45</v>
      </c>
      <c r="I7">
        <v>5</v>
      </c>
      <c r="J7">
        <v>1999</v>
      </c>
      <c r="K7">
        <v>9995</v>
      </c>
      <c r="L7">
        <v>15</v>
      </c>
      <c r="M7" t="s">
        <v>46</v>
      </c>
      <c r="N7" t="s">
        <v>47</v>
      </c>
      <c r="O7" t="s">
        <v>48</v>
      </c>
      <c r="P7" t="s">
        <v>57</v>
      </c>
    </row>
    <row r="8" spans="1:16" x14ac:dyDescent="0.25">
      <c r="A8" t="s">
        <v>58</v>
      </c>
      <c r="B8" s="2">
        <v>45863</v>
      </c>
      <c r="C8" t="s">
        <v>59</v>
      </c>
      <c r="D8" t="s">
        <v>18</v>
      </c>
      <c r="E8">
        <v>31</v>
      </c>
      <c r="F8" t="s">
        <v>60</v>
      </c>
      <c r="G8" t="s">
        <v>20</v>
      </c>
      <c r="H8" t="s">
        <v>52</v>
      </c>
      <c r="I8">
        <v>1</v>
      </c>
      <c r="J8">
        <v>599</v>
      </c>
      <c r="K8">
        <v>599</v>
      </c>
      <c r="L8">
        <v>5</v>
      </c>
      <c r="M8" t="s">
        <v>22</v>
      </c>
      <c r="N8" t="s">
        <v>61</v>
      </c>
      <c r="O8" t="s">
        <v>48</v>
      </c>
      <c r="P8" t="s">
        <v>62</v>
      </c>
    </row>
    <row r="9" spans="1:16" x14ac:dyDescent="0.25">
      <c r="A9" t="s">
        <v>63</v>
      </c>
      <c r="B9" s="2">
        <v>45945</v>
      </c>
      <c r="C9" t="s">
        <v>56</v>
      </c>
      <c r="D9" t="s">
        <v>35</v>
      </c>
      <c r="E9">
        <v>55</v>
      </c>
      <c r="F9" t="s">
        <v>28</v>
      </c>
      <c r="G9" t="s">
        <v>29</v>
      </c>
      <c r="H9" t="s">
        <v>64</v>
      </c>
      <c r="I9">
        <v>2</v>
      </c>
      <c r="J9">
        <v>399</v>
      </c>
      <c r="K9">
        <v>798</v>
      </c>
      <c r="L9">
        <v>20</v>
      </c>
      <c r="M9" t="s">
        <v>22</v>
      </c>
      <c r="N9" t="s">
        <v>31</v>
      </c>
      <c r="O9" t="s">
        <v>24</v>
      </c>
      <c r="P9" t="s">
        <v>65</v>
      </c>
    </row>
    <row r="10" spans="1:16" x14ac:dyDescent="0.25">
      <c r="A10" t="s">
        <v>66</v>
      </c>
      <c r="B10" s="2">
        <v>45714</v>
      </c>
      <c r="C10" t="s">
        <v>67</v>
      </c>
      <c r="D10" t="s">
        <v>18</v>
      </c>
      <c r="E10">
        <v>45</v>
      </c>
      <c r="F10" t="s">
        <v>19</v>
      </c>
      <c r="G10" t="s">
        <v>68</v>
      </c>
      <c r="H10" t="s">
        <v>69</v>
      </c>
      <c r="I10">
        <v>1</v>
      </c>
      <c r="J10">
        <v>199</v>
      </c>
      <c r="K10">
        <v>199</v>
      </c>
      <c r="L10">
        <v>15</v>
      </c>
      <c r="M10" t="s">
        <v>22</v>
      </c>
      <c r="N10" t="s">
        <v>61</v>
      </c>
      <c r="O10" t="s">
        <v>48</v>
      </c>
      <c r="P10" t="s">
        <v>70</v>
      </c>
    </row>
    <row r="11" spans="1:16" x14ac:dyDescent="0.25">
      <c r="A11" t="s">
        <v>71</v>
      </c>
      <c r="B11" s="2">
        <v>45932</v>
      </c>
      <c r="C11" t="s">
        <v>72</v>
      </c>
      <c r="D11" t="s">
        <v>35</v>
      </c>
      <c r="E11">
        <v>59</v>
      </c>
      <c r="F11" t="s">
        <v>60</v>
      </c>
      <c r="G11" t="s">
        <v>68</v>
      </c>
      <c r="H11" t="s">
        <v>73</v>
      </c>
      <c r="I11">
        <v>1</v>
      </c>
      <c r="J11">
        <v>1999</v>
      </c>
      <c r="K11">
        <v>1999</v>
      </c>
      <c r="L11">
        <v>0</v>
      </c>
      <c r="M11" t="s">
        <v>46</v>
      </c>
      <c r="N11" t="s">
        <v>61</v>
      </c>
      <c r="O11" t="s">
        <v>24</v>
      </c>
      <c r="P11" t="s">
        <v>62</v>
      </c>
    </row>
    <row r="12" spans="1:16" x14ac:dyDescent="0.25">
      <c r="A12" t="s">
        <v>74</v>
      </c>
      <c r="B12" s="2">
        <v>45917</v>
      </c>
      <c r="C12" t="s">
        <v>75</v>
      </c>
      <c r="D12" t="s">
        <v>35</v>
      </c>
      <c r="E12">
        <v>58</v>
      </c>
      <c r="F12" t="s">
        <v>76</v>
      </c>
      <c r="G12" t="s">
        <v>20</v>
      </c>
      <c r="H12" t="s">
        <v>77</v>
      </c>
      <c r="I12">
        <v>5</v>
      </c>
      <c r="J12">
        <v>299</v>
      </c>
      <c r="K12">
        <v>1495</v>
      </c>
      <c r="L12">
        <v>5</v>
      </c>
      <c r="M12" t="s">
        <v>46</v>
      </c>
      <c r="N12" t="s">
        <v>47</v>
      </c>
      <c r="O12" t="s">
        <v>48</v>
      </c>
      <c r="P12" t="s">
        <v>78</v>
      </c>
    </row>
    <row r="13" spans="1:16" x14ac:dyDescent="0.25">
      <c r="A13" t="s">
        <v>79</v>
      </c>
      <c r="B13" s="2">
        <v>45667</v>
      </c>
      <c r="C13" t="s">
        <v>80</v>
      </c>
      <c r="D13" t="s">
        <v>35</v>
      </c>
      <c r="E13">
        <v>37</v>
      </c>
      <c r="F13" t="s">
        <v>76</v>
      </c>
      <c r="G13" t="s">
        <v>20</v>
      </c>
      <c r="H13" t="s">
        <v>81</v>
      </c>
      <c r="I13">
        <v>3</v>
      </c>
      <c r="J13">
        <v>999</v>
      </c>
      <c r="K13">
        <v>2997</v>
      </c>
      <c r="L13">
        <v>0</v>
      </c>
      <c r="M13" t="s">
        <v>53</v>
      </c>
      <c r="N13" t="s">
        <v>23</v>
      </c>
      <c r="O13" t="s">
        <v>24</v>
      </c>
      <c r="P13" t="s">
        <v>82</v>
      </c>
    </row>
    <row r="14" spans="1:16" x14ac:dyDescent="0.25">
      <c r="A14" t="s">
        <v>83</v>
      </c>
      <c r="B14" s="2">
        <v>45995</v>
      </c>
      <c r="C14" t="s">
        <v>84</v>
      </c>
      <c r="D14" t="s">
        <v>18</v>
      </c>
      <c r="E14">
        <v>34</v>
      </c>
      <c r="F14" t="s">
        <v>28</v>
      </c>
      <c r="G14" t="s">
        <v>20</v>
      </c>
      <c r="H14" t="s">
        <v>81</v>
      </c>
      <c r="I14">
        <v>2</v>
      </c>
      <c r="J14">
        <v>299</v>
      </c>
      <c r="K14">
        <v>598</v>
      </c>
      <c r="L14">
        <v>5</v>
      </c>
      <c r="M14" t="s">
        <v>85</v>
      </c>
      <c r="N14" t="s">
        <v>47</v>
      </c>
      <c r="O14" t="s">
        <v>48</v>
      </c>
      <c r="P14" t="s">
        <v>86</v>
      </c>
    </row>
    <row r="15" spans="1:16" x14ac:dyDescent="0.25">
      <c r="A15" t="s">
        <v>87</v>
      </c>
      <c r="B15" s="2">
        <v>45889</v>
      </c>
      <c r="C15" t="s">
        <v>88</v>
      </c>
      <c r="D15" t="s">
        <v>18</v>
      </c>
      <c r="E15">
        <v>32</v>
      </c>
      <c r="F15" t="s">
        <v>19</v>
      </c>
      <c r="G15" t="s">
        <v>36</v>
      </c>
      <c r="H15" t="s">
        <v>37</v>
      </c>
      <c r="I15">
        <v>4</v>
      </c>
      <c r="J15">
        <v>1299</v>
      </c>
      <c r="K15">
        <v>5196</v>
      </c>
      <c r="L15">
        <v>10</v>
      </c>
      <c r="M15" t="s">
        <v>38</v>
      </c>
      <c r="N15" t="s">
        <v>47</v>
      </c>
      <c r="O15" t="s">
        <v>48</v>
      </c>
      <c r="P15" t="s">
        <v>89</v>
      </c>
    </row>
    <row r="16" spans="1:16" x14ac:dyDescent="0.25">
      <c r="A16" t="s">
        <v>90</v>
      </c>
      <c r="B16" s="2">
        <v>45692</v>
      </c>
      <c r="C16" t="s">
        <v>91</v>
      </c>
      <c r="D16" t="s">
        <v>35</v>
      </c>
      <c r="E16">
        <v>22</v>
      </c>
      <c r="F16" t="s">
        <v>76</v>
      </c>
      <c r="G16" t="s">
        <v>20</v>
      </c>
      <c r="H16" t="s">
        <v>21</v>
      </c>
      <c r="I16">
        <v>1</v>
      </c>
      <c r="J16">
        <v>399</v>
      </c>
      <c r="K16">
        <v>399</v>
      </c>
      <c r="L16">
        <v>10</v>
      </c>
      <c r="M16" t="s">
        <v>22</v>
      </c>
      <c r="N16" t="s">
        <v>47</v>
      </c>
      <c r="O16" t="s">
        <v>48</v>
      </c>
      <c r="P16" t="s">
        <v>65</v>
      </c>
    </row>
    <row r="17" spans="1:16" x14ac:dyDescent="0.25">
      <c r="A17" t="s">
        <v>92</v>
      </c>
      <c r="B17" s="2">
        <v>45900</v>
      </c>
      <c r="C17" t="s">
        <v>93</v>
      </c>
      <c r="D17" t="s">
        <v>18</v>
      </c>
      <c r="E17">
        <v>24</v>
      </c>
      <c r="F17" t="s">
        <v>19</v>
      </c>
      <c r="G17" t="s">
        <v>68</v>
      </c>
      <c r="H17" t="s">
        <v>94</v>
      </c>
      <c r="I17">
        <v>4</v>
      </c>
      <c r="J17">
        <v>399</v>
      </c>
      <c r="K17">
        <v>1596</v>
      </c>
      <c r="L17">
        <v>15</v>
      </c>
      <c r="M17" t="s">
        <v>46</v>
      </c>
      <c r="N17" t="s">
        <v>61</v>
      </c>
      <c r="O17" t="s">
        <v>39</v>
      </c>
      <c r="P17" t="s">
        <v>62</v>
      </c>
    </row>
    <row r="18" spans="1:16" x14ac:dyDescent="0.25">
      <c r="A18" t="s">
        <v>95</v>
      </c>
      <c r="B18" s="2">
        <v>45831</v>
      </c>
      <c r="C18" t="s">
        <v>75</v>
      </c>
      <c r="D18" t="s">
        <v>18</v>
      </c>
      <c r="E18">
        <v>30</v>
      </c>
      <c r="F18" t="s">
        <v>76</v>
      </c>
      <c r="G18" t="s">
        <v>20</v>
      </c>
      <c r="H18" t="s">
        <v>21</v>
      </c>
      <c r="I18">
        <v>1</v>
      </c>
      <c r="J18">
        <v>799</v>
      </c>
      <c r="K18">
        <v>799</v>
      </c>
      <c r="L18">
        <v>20</v>
      </c>
      <c r="M18" t="s">
        <v>22</v>
      </c>
      <c r="N18" t="s">
        <v>47</v>
      </c>
      <c r="O18" t="s">
        <v>39</v>
      </c>
      <c r="P18" t="s">
        <v>32</v>
      </c>
    </row>
    <row r="19" spans="1:16" x14ac:dyDescent="0.25">
      <c r="A19" t="s">
        <v>96</v>
      </c>
      <c r="B19" s="2">
        <v>45884</v>
      </c>
      <c r="C19" t="s">
        <v>97</v>
      </c>
      <c r="D19" t="s">
        <v>18</v>
      </c>
      <c r="E19">
        <v>21</v>
      </c>
      <c r="F19" t="s">
        <v>98</v>
      </c>
      <c r="G19" t="s">
        <v>44</v>
      </c>
      <c r="H19" t="s">
        <v>99</v>
      </c>
      <c r="I19">
        <v>2</v>
      </c>
      <c r="J19">
        <v>249</v>
      </c>
      <c r="K19">
        <v>498</v>
      </c>
      <c r="L19">
        <v>0</v>
      </c>
      <c r="M19" t="s">
        <v>53</v>
      </c>
      <c r="N19" t="s">
        <v>47</v>
      </c>
      <c r="O19" t="s">
        <v>39</v>
      </c>
      <c r="P19" t="s">
        <v>100</v>
      </c>
    </row>
    <row r="20" spans="1:16" x14ac:dyDescent="0.25">
      <c r="A20" t="s">
        <v>101</v>
      </c>
      <c r="B20" s="2">
        <v>45742</v>
      </c>
      <c r="C20" t="s">
        <v>42</v>
      </c>
      <c r="D20" t="s">
        <v>18</v>
      </c>
      <c r="E20">
        <v>42</v>
      </c>
      <c r="F20" t="s">
        <v>43</v>
      </c>
      <c r="G20" t="s">
        <v>36</v>
      </c>
      <c r="H20" t="s">
        <v>102</v>
      </c>
      <c r="I20">
        <v>4</v>
      </c>
      <c r="J20">
        <v>199</v>
      </c>
      <c r="K20">
        <v>796</v>
      </c>
      <c r="L20">
        <v>15</v>
      </c>
      <c r="M20" t="s">
        <v>46</v>
      </c>
      <c r="N20" t="s">
        <v>61</v>
      </c>
      <c r="O20" t="s">
        <v>48</v>
      </c>
      <c r="P20" t="s">
        <v>103</v>
      </c>
    </row>
    <row r="21" spans="1:16" x14ac:dyDescent="0.25">
      <c r="A21" t="s">
        <v>104</v>
      </c>
      <c r="B21" s="2">
        <v>45769</v>
      </c>
      <c r="C21" t="s">
        <v>105</v>
      </c>
      <c r="D21" t="s">
        <v>18</v>
      </c>
      <c r="E21">
        <v>38</v>
      </c>
      <c r="F21" t="s">
        <v>98</v>
      </c>
      <c r="G21" t="s">
        <v>36</v>
      </c>
      <c r="H21" t="s">
        <v>102</v>
      </c>
      <c r="I21">
        <v>2</v>
      </c>
      <c r="J21">
        <v>499</v>
      </c>
      <c r="K21">
        <v>998</v>
      </c>
      <c r="L21">
        <v>0</v>
      </c>
      <c r="M21" t="s">
        <v>85</v>
      </c>
      <c r="N21" t="s">
        <v>61</v>
      </c>
      <c r="O21" t="s">
        <v>48</v>
      </c>
      <c r="P21" t="s">
        <v>78</v>
      </c>
    </row>
    <row r="22" spans="1:16" x14ac:dyDescent="0.25">
      <c r="A22" t="s">
        <v>106</v>
      </c>
      <c r="B22" s="2">
        <v>45753</v>
      </c>
      <c r="C22" t="s">
        <v>107</v>
      </c>
      <c r="D22" t="s">
        <v>18</v>
      </c>
      <c r="E22">
        <v>33</v>
      </c>
      <c r="F22" t="s">
        <v>28</v>
      </c>
      <c r="G22" t="s">
        <v>29</v>
      </c>
      <c r="H22" t="s">
        <v>108</v>
      </c>
      <c r="I22">
        <v>5</v>
      </c>
      <c r="J22">
        <v>249</v>
      </c>
      <c r="K22">
        <v>1245</v>
      </c>
      <c r="L22">
        <v>0</v>
      </c>
      <c r="M22" t="s">
        <v>85</v>
      </c>
      <c r="N22" t="s">
        <v>47</v>
      </c>
      <c r="O22" t="s">
        <v>48</v>
      </c>
      <c r="P22" t="s">
        <v>40</v>
      </c>
    </row>
    <row r="23" spans="1:16" x14ac:dyDescent="0.25">
      <c r="A23" t="s">
        <v>109</v>
      </c>
      <c r="B23" s="2">
        <v>45994</v>
      </c>
      <c r="C23" t="s">
        <v>110</v>
      </c>
      <c r="D23" t="s">
        <v>35</v>
      </c>
      <c r="E23">
        <v>34</v>
      </c>
      <c r="F23" t="s">
        <v>76</v>
      </c>
      <c r="G23" t="s">
        <v>20</v>
      </c>
      <c r="H23" t="s">
        <v>81</v>
      </c>
      <c r="I23">
        <v>1</v>
      </c>
      <c r="J23">
        <v>799</v>
      </c>
      <c r="K23">
        <v>799</v>
      </c>
      <c r="L23">
        <v>10</v>
      </c>
      <c r="M23" t="s">
        <v>53</v>
      </c>
      <c r="N23" t="s">
        <v>31</v>
      </c>
      <c r="O23" t="s">
        <v>39</v>
      </c>
      <c r="P23" t="s">
        <v>65</v>
      </c>
    </row>
    <row r="24" spans="1:16" x14ac:dyDescent="0.25">
      <c r="A24" t="s">
        <v>111</v>
      </c>
      <c r="B24" s="2">
        <v>45662</v>
      </c>
      <c r="C24" t="s">
        <v>112</v>
      </c>
      <c r="D24" t="s">
        <v>18</v>
      </c>
      <c r="E24">
        <v>22</v>
      </c>
      <c r="F24" t="s">
        <v>76</v>
      </c>
      <c r="G24" t="s">
        <v>44</v>
      </c>
      <c r="H24" t="s">
        <v>99</v>
      </c>
      <c r="I24">
        <v>3</v>
      </c>
      <c r="J24">
        <v>249</v>
      </c>
      <c r="K24">
        <v>747</v>
      </c>
      <c r="L24">
        <v>20</v>
      </c>
      <c r="M24" t="s">
        <v>46</v>
      </c>
      <c r="N24" t="s">
        <v>47</v>
      </c>
      <c r="O24" t="s">
        <v>39</v>
      </c>
      <c r="P24" t="s">
        <v>25</v>
      </c>
    </row>
    <row r="25" spans="1:16" x14ac:dyDescent="0.25">
      <c r="A25" t="s">
        <v>113</v>
      </c>
      <c r="B25" s="2">
        <v>45882</v>
      </c>
      <c r="C25" t="s">
        <v>114</v>
      </c>
      <c r="D25" t="s">
        <v>35</v>
      </c>
      <c r="E25">
        <v>57</v>
      </c>
      <c r="F25" t="s">
        <v>98</v>
      </c>
      <c r="G25" t="s">
        <v>29</v>
      </c>
      <c r="H25" t="s">
        <v>64</v>
      </c>
      <c r="I25">
        <v>3</v>
      </c>
      <c r="J25">
        <v>299</v>
      </c>
      <c r="K25">
        <v>897</v>
      </c>
      <c r="L25">
        <v>20</v>
      </c>
      <c r="M25" t="s">
        <v>46</v>
      </c>
      <c r="N25" t="s">
        <v>23</v>
      </c>
      <c r="O25" t="s">
        <v>24</v>
      </c>
      <c r="P25" t="s">
        <v>70</v>
      </c>
    </row>
    <row r="26" spans="1:16" x14ac:dyDescent="0.25">
      <c r="A26" t="s">
        <v>115</v>
      </c>
      <c r="B26" s="2">
        <v>45797</v>
      </c>
      <c r="C26" t="s">
        <v>116</v>
      </c>
      <c r="D26" t="s">
        <v>18</v>
      </c>
      <c r="E26">
        <v>39</v>
      </c>
      <c r="F26" t="s">
        <v>76</v>
      </c>
      <c r="G26" t="s">
        <v>20</v>
      </c>
      <c r="H26" t="s">
        <v>21</v>
      </c>
      <c r="I26">
        <v>5</v>
      </c>
      <c r="J26">
        <v>299</v>
      </c>
      <c r="K26">
        <v>1495</v>
      </c>
      <c r="L26">
        <v>10</v>
      </c>
      <c r="M26" t="s">
        <v>85</v>
      </c>
      <c r="N26" t="s">
        <v>61</v>
      </c>
      <c r="O26" t="s">
        <v>39</v>
      </c>
      <c r="P26" t="s">
        <v>117</v>
      </c>
    </row>
    <row r="27" spans="1:16" x14ac:dyDescent="0.25">
      <c r="A27" t="s">
        <v>118</v>
      </c>
      <c r="B27" s="2">
        <v>45659</v>
      </c>
      <c r="C27" t="s">
        <v>119</v>
      </c>
      <c r="D27" t="s">
        <v>18</v>
      </c>
      <c r="E27">
        <v>58</v>
      </c>
      <c r="F27" t="s">
        <v>43</v>
      </c>
      <c r="G27" t="s">
        <v>20</v>
      </c>
      <c r="H27" t="s">
        <v>120</v>
      </c>
      <c r="I27">
        <v>3</v>
      </c>
      <c r="J27">
        <v>199</v>
      </c>
      <c r="K27">
        <v>597</v>
      </c>
      <c r="L27">
        <v>5</v>
      </c>
      <c r="M27" t="s">
        <v>22</v>
      </c>
      <c r="N27" t="s">
        <v>61</v>
      </c>
      <c r="O27" t="s">
        <v>48</v>
      </c>
      <c r="P27" t="s">
        <v>121</v>
      </c>
    </row>
    <row r="28" spans="1:16" x14ac:dyDescent="0.25">
      <c r="A28" t="s">
        <v>122</v>
      </c>
      <c r="B28" s="2">
        <v>45676</v>
      </c>
      <c r="C28" t="s">
        <v>123</v>
      </c>
      <c r="D28" t="s">
        <v>18</v>
      </c>
      <c r="E28">
        <v>45</v>
      </c>
      <c r="F28" t="s">
        <v>124</v>
      </c>
      <c r="G28" t="s">
        <v>20</v>
      </c>
      <c r="H28" t="s">
        <v>21</v>
      </c>
      <c r="I28">
        <v>2</v>
      </c>
      <c r="J28">
        <v>1299</v>
      </c>
      <c r="K28">
        <v>2598</v>
      </c>
      <c r="L28">
        <v>0</v>
      </c>
      <c r="M28" t="s">
        <v>46</v>
      </c>
      <c r="N28" t="s">
        <v>31</v>
      </c>
      <c r="O28" t="s">
        <v>24</v>
      </c>
      <c r="P28" t="s">
        <v>125</v>
      </c>
    </row>
    <row r="29" spans="1:16" x14ac:dyDescent="0.25">
      <c r="A29" t="s">
        <v>126</v>
      </c>
      <c r="B29" s="2">
        <v>45944</v>
      </c>
      <c r="C29" t="s">
        <v>93</v>
      </c>
      <c r="D29" t="s">
        <v>18</v>
      </c>
      <c r="E29">
        <v>33</v>
      </c>
      <c r="F29" t="s">
        <v>124</v>
      </c>
      <c r="G29" t="s">
        <v>29</v>
      </c>
      <c r="H29" t="s">
        <v>30</v>
      </c>
      <c r="I29">
        <v>1</v>
      </c>
      <c r="J29">
        <v>599</v>
      </c>
      <c r="K29">
        <v>599</v>
      </c>
      <c r="L29">
        <v>5</v>
      </c>
      <c r="M29" t="s">
        <v>22</v>
      </c>
      <c r="N29" t="s">
        <v>23</v>
      </c>
      <c r="O29" t="s">
        <v>24</v>
      </c>
      <c r="P29" t="s">
        <v>57</v>
      </c>
    </row>
    <row r="30" spans="1:16" x14ac:dyDescent="0.25">
      <c r="A30" t="s">
        <v>127</v>
      </c>
      <c r="B30" s="2">
        <v>46017</v>
      </c>
      <c r="C30" t="s">
        <v>75</v>
      </c>
      <c r="D30" t="s">
        <v>35</v>
      </c>
      <c r="E30">
        <v>20</v>
      </c>
      <c r="F30" t="s">
        <v>51</v>
      </c>
      <c r="G30" t="s">
        <v>36</v>
      </c>
      <c r="H30" t="s">
        <v>102</v>
      </c>
      <c r="I30">
        <v>3</v>
      </c>
      <c r="J30">
        <v>299</v>
      </c>
      <c r="K30">
        <v>897</v>
      </c>
      <c r="L30">
        <v>5</v>
      </c>
      <c r="M30" t="s">
        <v>53</v>
      </c>
      <c r="N30" t="s">
        <v>61</v>
      </c>
      <c r="O30" t="s">
        <v>39</v>
      </c>
      <c r="P30" t="s">
        <v>86</v>
      </c>
    </row>
    <row r="31" spans="1:16" x14ac:dyDescent="0.25">
      <c r="A31" t="s">
        <v>128</v>
      </c>
      <c r="B31" s="2">
        <v>45756</v>
      </c>
      <c r="C31" t="s">
        <v>129</v>
      </c>
      <c r="D31" t="s">
        <v>35</v>
      </c>
      <c r="E31">
        <v>35</v>
      </c>
      <c r="F31" t="s">
        <v>19</v>
      </c>
      <c r="G31" t="s">
        <v>29</v>
      </c>
      <c r="H31" t="s">
        <v>30</v>
      </c>
      <c r="I31">
        <v>1</v>
      </c>
      <c r="J31">
        <v>1999</v>
      </c>
      <c r="K31">
        <v>1999</v>
      </c>
      <c r="L31">
        <v>10</v>
      </c>
      <c r="M31" t="s">
        <v>46</v>
      </c>
      <c r="N31" t="s">
        <v>61</v>
      </c>
      <c r="O31" t="s">
        <v>48</v>
      </c>
      <c r="P31" t="s">
        <v>103</v>
      </c>
    </row>
    <row r="32" spans="1:16" x14ac:dyDescent="0.25">
      <c r="A32" t="s">
        <v>130</v>
      </c>
      <c r="B32" s="2">
        <v>45749</v>
      </c>
      <c r="C32" t="s">
        <v>110</v>
      </c>
      <c r="D32" t="s">
        <v>35</v>
      </c>
      <c r="E32">
        <v>20</v>
      </c>
      <c r="F32" t="s">
        <v>19</v>
      </c>
      <c r="G32" t="s">
        <v>44</v>
      </c>
      <c r="H32" t="s">
        <v>45</v>
      </c>
      <c r="I32">
        <v>1</v>
      </c>
      <c r="J32">
        <v>499</v>
      </c>
      <c r="K32">
        <v>499</v>
      </c>
      <c r="L32">
        <v>20</v>
      </c>
      <c r="M32" t="s">
        <v>22</v>
      </c>
      <c r="N32" t="s">
        <v>31</v>
      </c>
      <c r="O32" t="s">
        <v>48</v>
      </c>
      <c r="P32" t="s">
        <v>57</v>
      </c>
    </row>
    <row r="33" spans="1:16" x14ac:dyDescent="0.25">
      <c r="A33" t="s">
        <v>131</v>
      </c>
      <c r="B33" s="2">
        <v>45855</v>
      </c>
      <c r="C33" t="s">
        <v>132</v>
      </c>
      <c r="D33" t="s">
        <v>18</v>
      </c>
      <c r="E33">
        <v>34</v>
      </c>
      <c r="F33" t="s">
        <v>98</v>
      </c>
      <c r="G33" t="s">
        <v>36</v>
      </c>
      <c r="H33" t="s">
        <v>133</v>
      </c>
      <c r="I33">
        <v>5</v>
      </c>
      <c r="J33">
        <v>249</v>
      </c>
      <c r="K33">
        <v>1245</v>
      </c>
      <c r="L33">
        <v>15</v>
      </c>
      <c r="M33" t="s">
        <v>38</v>
      </c>
      <c r="N33" t="s">
        <v>47</v>
      </c>
      <c r="O33" t="s">
        <v>39</v>
      </c>
      <c r="P33" t="s">
        <v>134</v>
      </c>
    </row>
    <row r="34" spans="1:16" x14ac:dyDescent="0.25">
      <c r="A34" t="s">
        <v>135</v>
      </c>
      <c r="B34" s="2">
        <v>45997</v>
      </c>
      <c r="C34" t="s">
        <v>88</v>
      </c>
      <c r="D34" t="s">
        <v>35</v>
      </c>
      <c r="E34">
        <v>50</v>
      </c>
      <c r="F34" t="s">
        <v>43</v>
      </c>
      <c r="G34" t="s">
        <v>20</v>
      </c>
      <c r="H34" t="s">
        <v>77</v>
      </c>
      <c r="I34">
        <v>5</v>
      </c>
      <c r="J34">
        <v>599</v>
      </c>
      <c r="K34">
        <v>2995</v>
      </c>
      <c r="L34">
        <v>15</v>
      </c>
      <c r="M34" t="s">
        <v>46</v>
      </c>
      <c r="N34" t="s">
        <v>61</v>
      </c>
      <c r="O34" t="s">
        <v>48</v>
      </c>
      <c r="P34" t="s">
        <v>86</v>
      </c>
    </row>
    <row r="35" spans="1:16" x14ac:dyDescent="0.25">
      <c r="A35" t="s">
        <v>136</v>
      </c>
      <c r="B35" s="2">
        <v>45998</v>
      </c>
      <c r="C35" t="s">
        <v>42</v>
      </c>
      <c r="D35" t="s">
        <v>18</v>
      </c>
      <c r="E35">
        <v>57</v>
      </c>
      <c r="F35" t="s">
        <v>43</v>
      </c>
      <c r="G35" t="s">
        <v>68</v>
      </c>
      <c r="H35" t="s">
        <v>137</v>
      </c>
      <c r="I35">
        <v>2</v>
      </c>
      <c r="J35">
        <v>799</v>
      </c>
      <c r="K35">
        <v>1598</v>
      </c>
      <c r="L35">
        <v>15</v>
      </c>
      <c r="M35" t="s">
        <v>85</v>
      </c>
      <c r="N35" t="s">
        <v>23</v>
      </c>
      <c r="O35" t="s">
        <v>39</v>
      </c>
      <c r="P35" t="s">
        <v>86</v>
      </c>
    </row>
    <row r="36" spans="1:16" x14ac:dyDescent="0.25">
      <c r="A36" t="s">
        <v>138</v>
      </c>
      <c r="B36" s="2">
        <v>45993</v>
      </c>
      <c r="C36" t="s">
        <v>139</v>
      </c>
      <c r="D36" t="s">
        <v>35</v>
      </c>
      <c r="E36">
        <v>46</v>
      </c>
      <c r="F36" t="s">
        <v>51</v>
      </c>
      <c r="G36" t="s">
        <v>29</v>
      </c>
      <c r="H36" t="s">
        <v>140</v>
      </c>
      <c r="I36">
        <v>5</v>
      </c>
      <c r="J36">
        <v>1499</v>
      </c>
      <c r="K36">
        <v>7495</v>
      </c>
      <c r="L36">
        <v>5</v>
      </c>
      <c r="M36" t="s">
        <v>85</v>
      </c>
      <c r="N36" t="s">
        <v>61</v>
      </c>
      <c r="O36" t="s">
        <v>48</v>
      </c>
      <c r="P36" t="s">
        <v>32</v>
      </c>
    </row>
    <row r="37" spans="1:16" x14ac:dyDescent="0.25">
      <c r="A37" t="s">
        <v>141</v>
      </c>
      <c r="B37" s="2">
        <v>45982</v>
      </c>
      <c r="C37" t="s">
        <v>142</v>
      </c>
      <c r="D37" t="s">
        <v>35</v>
      </c>
      <c r="E37">
        <v>23</v>
      </c>
      <c r="F37" t="s">
        <v>76</v>
      </c>
      <c r="G37" t="s">
        <v>20</v>
      </c>
      <c r="H37" t="s">
        <v>77</v>
      </c>
      <c r="I37">
        <v>5</v>
      </c>
      <c r="J37">
        <v>1999</v>
      </c>
      <c r="K37">
        <v>9995</v>
      </c>
      <c r="L37">
        <v>10</v>
      </c>
      <c r="M37" t="s">
        <v>53</v>
      </c>
      <c r="N37" t="s">
        <v>47</v>
      </c>
      <c r="O37" t="s">
        <v>24</v>
      </c>
      <c r="P37" t="s">
        <v>121</v>
      </c>
    </row>
    <row r="38" spans="1:16" x14ac:dyDescent="0.25">
      <c r="A38" t="s">
        <v>143</v>
      </c>
      <c r="B38" s="2">
        <v>45695</v>
      </c>
      <c r="C38" t="s">
        <v>112</v>
      </c>
      <c r="D38" t="s">
        <v>35</v>
      </c>
      <c r="E38">
        <v>58</v>
      </c>
      <c r="F38" t="s">
        <v>76</v>
      </c>
      <c r="G38" t="s">
        <v>20</v>
      </c>
      <c r="H38" t="s">
        <v>52</v>
      </c>
      <c r="I38">
        <v>4</v>
      </c>
      <c r="J38">
        <v>1499</v>
      </c>
      <c r="K38">
        <v>5996</v>
      </c>
      <c r="L38">
        <v>15</v>
      </c>
      <c r="M38" t="s">
        <v>22</v>
      </c>
      <c r="N38" t="s">
        <v>61</v>
      </c>
      <c r="O38" t="s">
        <v>24</v>
      </c>
      <c r="P38" t="s">
        <v>65</v>
      </c>
    </row>
    <row r="39" spans="1:16" x14ac:dyDescent="0.25">
      <c r="A39" t="s">
        <v>144</v>
      </c>
      <c r="B39" s="2">
        <v>45748</v>
      </c>
      <c r="C39" t="s">
        <v>145</v>
      </c>
      <c r="D39" t="s">
        <v>35</v>
      </c>
      <c r="E39">
        <v>21</v>
      </c>
      <c r="F39" t="s">
        <v>76</v>
      </c>
      <c r="G39" t="s">
        <v>20</v>
      </c>
      <c r="H39" t="s">
        <v>21</v>
      </c>
      <c r="I39">
        <v>4</v>
      </c>
      <c r="J39">
        <v>399</v>
      </c>
      <c r="K39">
        <v>1596</v>
      </c>
      <c r="L39">
        <v>0</v>
      </c>
      <c r="M39" t="s">
        <v>22</v>
      </c>
      <c r="N39" t="s">
        <v>47</v>
      </c>
      <c r="O39" t="s">
        <v>39</v>
      </c>
      <c r="P39" t="s">
        <v>78</v>
      </c>
    </row>
    <row r="40" spans="1:16" x14ac:dyDescent="0.25">
      <c r="A40" t="s">
        <v>146</v>
      </c>
      <c r="B40" s="2">
        <v>45971</v>
      </c>
      <c r="C40" t="s">
        <v>147</v>
      </c>
      <c r="D40" t="s">
        <v>35</v>
      </c>
      <c r="E40">
        <v>53</v>
      </c>
      <c r="F40" t="s">
        <v>148</v>
      </c>
      <c r="G40" t="s">
        <v>68</v>
      </c>
      <c r="H40" t="s">
        <v>94</v>
      </c>
      <c r="I40">
        <v>3</v>
      </c>
      <c r="J40">
        <v>999</v>
      </c>
      <c r="K40">
        <v>2997</v>
      </c>
      <c r="L40">
        <v>5</v>
      </c>
      <c r="M40" t="s">
        <v>22</v>
      </c>
      <c r="N40" t="s">
        <v>61</v>
      </c>
      <c r="O40" t="s">
        <v>39</v>
      </c>
      <c r="P40" t="s">
        <v>89</v>
      </c>
    </row>
    <row r="41" spans="1:16" x14ac:dyDescent="0.25">
      <c r="A41" t="s">
        <v>149</v>
      </c>
      <c r="B41" s="2">
        <v>45780</v>
      </c>
      <c r="C41" t="s">
        <v>150</v>
      </c>
      <c r="D41" t="s">
        <v>35</v>
      </c>
      <c r="E41">
        <v>22</v>
      </c>
      <c r="F41" t="s">
        <v>43</v>
      </c>
      <c r="G41" t="s">
        <v>44</v>
      </c>
      <c r="H41" t="s">
        <v>151</v>
      </c>
      <c r="I41">
        <v>4</v>
      </c>
      <c r="J41">
        <v>1999</v>
      </c>
      <c r="K41">
        <v>7996</v>
      </c>
      <c r="L41">
        <v>5</v>
      </c>
      <c r="M41" t="s">
        <v>46</v>
      </c>
      <c r="N41" t="s">
        <v>31</v>
      </c>
      <c r="O41" t="s">
        <v>39</v>
      </c>
      <c r="P41" t="s">
        <v>103</v>
      </c>
    </row>
    <row r="42" spans="1:16" x14ac:dyDescent="0.25">
      <c r="A42" t="s">
        <v>152</v>
      </c>
      <c r="B42" s="2">
        <v>45854</v>
      </c>
      <c r="C42" t="s">
        <v>153</v>
      </c>
      <c r="D42" t="s">
        <v>18</v>
      </c>
      <c r="E42">
        <v>31</v>
      </c>
      <c r="F42" t="s">
        <v>19</v>
      </c>
      <c r="G42" t="s">
        <v>20</v>
      </c>
      <c r="H42" t="s">
        <v>52</v>
      </c>
      <c r="I42">
        <v>2</v>
      </c>
      <c r="J42">
        <v>399</v>
      </c>
      <c r="K42">
        <v>798</v>
      </c>
      <c r="L42">
        <v>15</v>
      </c>
      <c r="M42" t="s">
        <v>22</v>
      </c>
      <c r="N42" t="s">
        <v>31</v>
      </c>
      <c r="O42" t="s">
        <v>48</v>
      </c>
      <c r="P42" t="s">
        <v>62</v>
      </c>
    </row>
    <row r="43" spans="1:16" x14ac:dyDescent="0.25">
      <c r="A43" t="s">
        <v>154</v>
      </c>
      <c r="B43" s="2">
        <v>45857</v>
      </c>
      <c r="C43" t="s">
        <v>155</v>
      </c>
      <c r="D43" t="s">
        <v>18</v>
      </c>
      <c r="E43">
        <v>54</v>
      </c>
      <c r="F43" t="s">
        <v>28</v>
      </c>
      <c r="G43" t="s">
        <v>36</v>
      </c>
      <c r="H43" t="s">
        <v>156</v>
      </c>
      <c r="I43">
        <v>2</v>
      </c>
      <c r="J43">
        <v>799</v>
      </c>
      <c r="K43">
        <v>1598</v>
      </c>
      <c r="L43">
        <v>15</v>
      </c>
      <c r="M43" t="s">
        <v>38</v>
      </c>
      <c r="N43" t="s">
        <v>31</v>
      </c>
      <c r="O43" t="s">
        <v>39</v>
      </c>
      <c r="P43" t="s">
        <v>157</v>
      </c>
    </row>
    <row r="44" spans="1:16" x14ac:dyDescent="0.25">
      <c r="A44" t="s">
        <v>158</v>
      </c>
      <c r="B44" s="2">
        <v>45770</v>
      </c>
      <c r="C44" t="s">
        <v>159</v>
      </c>
      <c r="D44" t="s">
        <v>18</v>
      </c>
      <c r="E44">
        <v>35</v>
      </c>
      <c r="F44" t="s">
        <v>28</v>
      </c>
      <c r="G44" t="s">
        <v>36</v>
      </c>
      <c r="H44" t="s">
        <v>133</v>
      </c>
      <c r="I44">
        <v>5</v>
      </c>
      <c r="J44">
        <v>1499</v>
      </c>
      <c r="K44">
        <v>7495</v>
      </c>
      <c r="L44">
        <v>15</v>
      </c>
      <c r="M44" t="s">
        <v>38</v>
      </c>
      <c r="N44" t="s">
        <v>61</v>
      </c>
      <c r="O44" t="s">
        <v>39</v>
      </c>
      <c r="P44" t="s">
        <v>157</v>
      </c>
    </row>
    <row r="45" spans="1:16" x14ac:dyDescent="0.25">
      <c r="A45" t="s">
        <v>160</v>
      </c>
      <c r="B45" s="2">
        <v>45931</v>
      </c>
      <c r="C45" t="s">
        <v>161</v>
      </c>
      <c r="D45" t="s">
        <v>35</v>
      </c>
      <c r="E45">
        <v>55</v>
      </c>
      <c r="F45" t="s">
        <v>98</v>
      </c>
      <c r="G45" t="s">
        <v>29</v>
      </c>
      <c r="H45" t="s">
        <v>140</v>
      </c>
      <c r="I45">
        <v>2</v>
      </c>
      <c r="J45">
        <v>1499</v>
      </c>
      <c r="K45">
        <v>2998</v>
      </c>
      <c r="L45">
        <v>0</v>
      </c>
      <c r="M45" t="s">
        <v>22</v>
      </c>
      <c r="N45" t="s">
        <v>47</v>
      </c>
      <c r="O45" t="s">
        <v>39</v>
      </c>
      <c r="P45" t="s">
        <v>32</v>
      </c>
    </row>
    <row r="46" spans="1:16" x14ac:dyDescent="0.25">
      <c r="A46" t="s">
        <v>162</v>
      </c>
      <c r="B46" s="2">
        <v>45766</v>
      </c>
      <c r="C46" t="s">
        <v>112</v>
      </c>
      <c r="D46" t="s">
        <v>35</v>
      </c>
      <c r="E46">
        <v>39</v>
      </c>
      <c r="F46" t="s">
        <v>28</v>
      </c>
      <c r="G46" t="s">
        <v>20</v>
      </c>
      <c r="H46" t="s">
        <v>77</v>
      </c>
      <c r="I46">
        <v>4</v>
      </c>
      <c r="J46">
        <v>599</v>
      </c>
      <c r="K46">
        <v>2396</v>
      </c>
      <c r="L46">
        <v>10</v>
      </c>
      <c r="M46" t="s">
        <v>22</v>
      </c>
      <c r="N46" t="s">
        <v>31</v>
      </c>
      <c r="O46" t="s">
        <v>24</v>
      </c>
      <c r="P46" t="s">
        <v>82</v>
      </c>
    </row>
    <row r="47" spans="1:16" x14ac:dyDescent="0.25">
      <c r="A47" t="s">
        <v>163</v>
      </c>
      <c r="B47" s="2">
        <v>45772</v>
      </c>
      <c r="C47" t="s">
        <v>164</v>
      </c>
      <c r="D47" t="s">
        <v>18</v>
      </c>
      <c r="E47">
        <v>59</v>
      </c>
      <c r="F47" t="s">
        <v>98</v>
      </c>
      <c r="G47" t="s">
        <v>20</v>
      </c>
      <c r="H47" t="s">
        <v>81</v>
      </c>
      <c r="I47">
        <v>1</v>
      </c>
      <c r="J47">
        <v>599</v>
      </c>
      <c r="K47">
        <v>599</v>
      </c>
      <c r="L47">
        <v>0</v>
      </c>
      <c r="M47" t="s">
        <v>53</v>
      </c>
      <c r="N47" t="s">
        <v>47</v>
      </c>
      <c r="O47" t="s">
        <v>24</v>
      </c>
      <c r="P47" t="s">
        <v>40</v>
      </c>
    </row>
    <row r="48" spans="1:16" x14ac:dyDescent="0.25">
      <c r="A48" t="s">
        <v>165</v>
      </c>
      <c r="B48" s="2">
        <v>46000</v>
      </c>
      <c r="C48" t="s">
        <v>80</v>
      </c>
      <c r="D48" t="s">
        <v>18</v>
      </c>
      <c r="E48">
        <v>47</v>
      </c>
      <c r="F48" t="s">
        <v>43</v>
      </c>
      <c r="G48" t="s">
        <v>29</v>
      </c>
      <c r="H48" t="s">
        <v>30</v>
      </c>
      <c r="I48">
        <v>2</v>
      </c>
      <c r="J48">
        <v>999</v>
      </c>
      <c r="K48">
        <v>1998</v>
      </c>
      <c r="L48">
        <v>10</v>
      </c>
      <c r="M48" t="s">
        <v>53</v>
      </c>
      <c r="N48" t="s">
        <v>23</v>
      </c>
      <c r="O48" t="s">
        <v>24</v>
      </c>
      <c r="P48" t="s">
        <v>86</v>
      </c>
    </row>
    <row r="49" spans="1:16" x14ac:dyDescent="0.25">
      <c r="A49" t="s">
        <v>166</v>
      </c>
      <c r="B49" s="2">
        <v>45952</v>
      </c>
      <c r="C49" t="s">
        <v>167</v>
      </c>
      <c r="D49" t="s">
        <v>35</v>
      </c>
      <c r="E49">
        <v>43</v>
      </c>
      <c r="F49" t="s">
        <v>76</v>
      </c>
      <c r="G49" t="s">
        <v>20</v>
      </c>
      <c r="H49" t="s">
        <v>81</v>
      </c>
      <c r="I49">
        <v>1</v>
      </c>
      <c r="J49">
        <v>499</v>
      </c>
      <c r="K49">
        <v>499</v>
      </c>
      <c r="L49">
        <v>0</v>
      </c>
      <c r="M49" t="s">
        <v>85</v>
      </c>
      <c r="N49" t="s">
        <v>47</v>
      </c>
      <c r="O49" t="s">
        <v>24</v>
      </c>
      <c r="P49" t="s">
        <v>86</v>
      </c>
    </row>
    <row r="50" spans="1:16" x14ac:dyDescent="0.25">
      <c r="A50" t="s">
        <v>168</v>
      </c>
      <c r="B50" s="2">
        <v>45835</v>
      </c>
      <c r="C50" t="s">
        <v>56</v>
      </c>
      <c r="D50" t="s">
        <v>35</v>
      </c>
      <c r="E50">
        <v>60</v>
      </c>
      <c r="F50" t="s">
        <v>60</v>
      </c>
      <c r="G50" t="s">
        <v>68</v>
      </c>
      <c r="H50" t="s">
        <v>73</v>
      </c>
      <c r="I50">
        <v>5</v>
      </c>
      <c r="J50">
        <v>199</v>
      </c>
      <c r="K50">
        <v>995</v>
      </c>
      <c r="L50">
        <v>0</v>
      </c>
      <c r="M50" t="s">
        <v>85</v>
      </c>
      <c r="N50" t="s">
        <v>31</v>
      </c>
      <c r="O50" t="s">
        <v>24</v>
      </c>
      <c r="P50" t="s">
        <v>134</v>
      </c>
    </row>
    <row r="51" spans="1:16" x14ac:dyDescent="0.25">
      <c r="A51" t="s">
        <v>169</v>
      </c>
      <c r="B51" s="2">
        <v>45983</v>
      </c>
      <c r="C51" t="s">
        <v>112</v>
      </c>
      <c r="D51" t="s">
        <v>18</v>
      </c>
      <c r="E51">
        <v>45</v>
      </c>
      <c r="F51" t="s">
        <v>124</v>
      </c>
      <c r="G51" t="s">
        <v>36</v>
      </c>
      <c r="H51" t="s">
        <v>156</v>
      </c>
      <c r="I51">
        <v>4</v>
      </c>
      <c r="J51">
        <v>599</v>
      </c>
      <c r="K51">
        <v>2396</v>
      </c>
      <c r="L51">
        <v>20</v>
      </c>
      <c r="M51" t="s">
        <v>46</v>
      </c>
      <c r="N51" t="s">
        <v>61</v>
      </c>
      <c r="O51" t="s">
        <v>39</v>
      </c>
      <c r="P51" t="s">
        <v>134</v>
      </c>
    </row>
    <row r="52" spans="1:16" x14ac:dyDescent="0.25">
      <c r="A52" t="s">
        <v>170</v>
      </c>
      <c r="B52" s="2">
        <v>45702</v>
      </c>
      <c r="C52" t="s">
        <v>150</v>
      </c>
      <c r="D52" t="s">
        <v>35</v>
      </c>
      <c r="E52">
        <v>33</v>
      </c>
      <c r="F52" t="s">
        <v>51</v>
      </c>
      <c r="G52" t="s">
        <v>68</v>
      </c>
      <c r="H52" t="s">
        <v>171</v>
      </c>
      <c r="I52">
        <v>3</v>
      </c>
      <c r="J52">
        <v>399</v>
      </c>
      <c r="K52">
        <v>1197</v>
      </c>
      <c r="L52">
        <v>20</v>
      </c>
      <c r="M52" t="s">
        <v>85</v>
      </c>
      <c r="N52" t="s">
        <v>61</v>
      </c>
      <c r="O52" t="s">
        <v>39</v>
      </c>
      <c r="P52" t="s">
        <v>121</v>
      </c>
    </row>
    <row r="53" spans="1:16" x14ac:dyDescent="0.25">
      <c r="A53" t="s">
        <v>172</v>
      </c>
      <c r="B53" s="2">
        <v>45766</v>
      </c>
      <c r="C53" t="s">
        <v>173</v>
      </c>
      <c r="D53" t="s">
        <v>35</v>
      </c>
      <c r="E53">
        <v>39</v>
      </c>
      <c r="F53" t="s">
        <v>43</v>
      </c>
      <c r="G53" t="s">
        <v>36</v>
      </c>
      <c r="H53" t="s">
        <v>37</v>
      </c>
      <c r="I53">
        <v>2</v>
      </c>
      <c r="J53">
        <v>999</v>
      </c>
      <c r="K53">
        <v>1998</v>
      </c>
      <c r="L53">
        <v>20</v>
      </c>
      <c r="M53" t="s">
        <v>46</v>
      </c>
      <c r="N53" t="s">
        <v>23</v>
      </c>
      <c r="O53" t="s">
        <v>48</v>
      </c>
      <c r="P53" t="s">
        <v>54</v>
      </c>
    </row>
    <row r="54" spans="1:16" x14ac:dyDescent="0.25">
      <c r="A54" t="s">
        <v>174</v>
      </c>
      <c r="B54" s="2">
        <v>45942</v>
      </c>
      <c r="C54" t="s">
        <v>34</v>
      </c>
      <c r="D54" t="s">
        <v>18</v>
      </c>
      <c r="E54">
        <v>48</v>
      </c>
      <c r="F54" t="s">
        <v>51</v>
      </c>
      <c r="G54" t="s">
        <v>20</v>
      </c>
      <c r="H54" t="s">
        <v>52</v>
      </c>
      <c r="I54">
        <v>4</v>
      </c>
      <c r="J54">
        <v>999</v>
      </c>
      <c r="K54">
        <v>3996</v>
      </c>
      <c r="L54">
        <v>15</v>
      </c>
      <c r="M54" t="s">
        <v>38</v>
      </c>
      <c r="N54" t="s">
        <v>23</v>
      </c>
      <c r="O54" t="s">
        <v>39</v>
      </c>
      <c r="P54" t="s">
        <v>89</v>
      </c>
    </row>
    <row r="55" spans="1:16" x14ac:dyDescent="0.25">
      <c r="A55" t="s">
        <v>175</v>
      </c>
      <c r="B55" s="2">
        <v>45955</v>
      </c>
      <c r="C55" t="s">
        <v>123</v>
      </c>
      <c r="D55" t="s">
        <v>35</v>
      </c>
      <c r="E55">
        <v>53</v>
      </c>
      <c r="F55" t="s">
        <v>60</v>
      </c>
      <c r="G55" t="s">
        <v>36</v>
      </c>
      <c r="H55" t="s">
        <v>102</v>
      </c>
      <c r="I55">
        <v>3</v>
      </c>
      <c r="J55">
        <v>1999</v>
      </c>
      <c r="K55">
        <v>5997</v>
      </c>
      <c r="L55">
        <v>15</v>
      </c>
      <c r="M55" t="s">
        <v>85</v>
      </c>
      <c r="N55" t="s">
        <v>31</v>
      </c>
      <c r="O55" t="s">
        <v>39</v>
      </c>
      <c r="P55" t="s">
        <v>62</v>
      </c>
    </row>
    <row r="56" spans="1:16" x14ac:dyDescent="0.25">
      <c r="A56" t="s">
        <v>176</v>
      </c>
      <c r="B56" s="2">
        <v>45719</v>
      </c>
      <c r="C56" t="s">
        <v>147</v>
      </c>
      <c r="D56" t="s">
        <v>18</v>
      </c>
      <c r="E56">
        <v>38</v>
      </c>
      <c r="F56" t="s">
        <v>19</v>
      </c>
      <c r="G56" t="s">
        <v>44</v>
      </c>
      <c r="H56" t="s">
        <v>177</v>
      </c>
      <c r="I56">
        <v>3</v>
      </c>
      <c r="J56">
        <v>399</v>
      </c>
      <c r="K56">
        <v>1197</v>
      </c>
      <c r="L56">
        <v>20</v>
      </c>
      <c r="M56" t="s">
        <v>53</v>
      </c>
      <c r="N56" t="s">
        <v>47</v>
      </c>
      <c r="O56" t="s">
        <v>24</v>
      </c>
      <c r="P56" t="s">
        <v>82</v>
      </c>
    </row>
    <row r="57" spans="1:16" x14ac:dyDescent="0.25">
      <c r="A57" t="s">
        <v>178</v>
      </c>
      <c r="B57" s="2">
        <v>45802</v>
      </c>
      <c r="C57" t="s">
        <v>50</v>
      </c>
      <c r="D57" t="s">
        <v>18</v>
      </c>
      <c r="E57">
        <v>36</v>
      </c>
      <c r="F57" t="s">
        <v>76</v>
      </c>
      <c r="G57" t="s">
        <v>44</v>
      </c>
      <c r="H57" t="s">
        <v>151</v>
      </c>
      <c r="I57">
        <v>5</v>
      </c>
      <c r="J57">
        <v>1499</v>
      </c>
      <c r="K57">
        <v>7495</v>
      </c>
      <c r="L57">
        <v>10</v>
      </c>
      <c r="M57" t="s">
        <v>53</v>
      </c>
      <c r="N57" t="s">
        <v>31</v>
      </c>
      <c r="O57" t="s">
        <v>24</v>
      </c>
      <c r="P57" t="s">
        <v>103</v>
      </c>
    </row>
    <row r="58" spans="1:16" x14ac:dyDescent="0.25">
      <c r="A58" t="s">
        <v>179</v>
      </c>
      <c r="B58" s="2">
        <v>45941</v>
      </c>
      <c r="C58" t="s">
        <v>180</v>
      </c>
      <c r="D58" t="s">
        <v>18</v>
      </c>
      <c r="E58">
        <v>58</v>
      </c>
      <c r="F58" t="s">
        <v>51</v>
      </c>
      <c r="G58" t="s">
        <v>29</v>
      </c>
      <c r="H58" t="s">
        <v>64</v>
      </c>
      <c r="I58">
        <v>1</v>
      </c>
      <c r="J58">
        <v>199</v>
      </c>
      <c r="K58">
        <v>199</v>
      </c>
      <c r="L58">
        <v>0</v>
      </c>
      <c r="M58" t="s">
        <v>38</v>
      </c>
      <c r="N58" t="s">
        <v>31</v>
      </c>
      <c r="O58" t="s">
        <v>39</v>
      </c>
      <c r="P58" t="s">
        <v>82</v>
      </c>
    </row>
    <row r="59" spans="1:16" x14ac:dyDescent="0.25">
      <c r="A59" t="s">
        <v>181</v>
      </c>
      <c r="B59" s="2">
        <v>45787</v>
      </c>
      <c r="C59" t="s">
        <v>182</v>
      </c>
      <c r="D59" t="s">
        <v>18</v>
      </c>
      <c r="E59">
        <v>22</v>
      </c>
      <c r="F59" t="s">
        <v>28</v>
      </c>
      <c r="G59" t="s">
        <v>36</v>
      </c>
      <c r="H59" t="s">
        <v>37</v>
      </c>
      <c r="I59">
        <v>2</v>
      </c>
      <c r="J59">
        <v>199</v>
      </c>
      <c r="K59">
        <v>398</v>
      </c>
      <c r="L59">
        <v>15</v>
      </c>
      <c r="M59" t="s">
        <v>38</v>
      </c>
      <c r="N59" t="s">
        <v>23</v>
      </c>
      <c r="O59" t="s">
        <v>24</v>
      </c>
      <c r="P59" t="s">
        <v>65</v>
      </c>
    </row>
    <row r="60" spans="1:16" x14ac:dyDescent="0.25">
      <c r="A60" t="s">
        <v>183</v>
      </c>
      <c r="B60" s="2">
        <v>45718</v>
      </c>
      <c r="C60" t="s">
        <v>27</v>
      </c>
      <c r="D60" t="s">
        <v>35</v>
      </c>
      <c r="E60">
        <v>56</v>
      </c>
      <c r="F60" t="s">
        <v>76</v>
      </c>
      <c r="G60" t="s">
        <v>68</v>
      </c>
      <c r="H60" t="s">
        <v>171</v>
      </c>
      <c r="I60">
        <v>1</v>
      </c>
      <c r="J60">
        <v>399</v>
      </c>
      <c r="K60">
        <v>399</v>
      </c>
      <c r="L60">
        <v>20</v>
      </c>
      <c r="M60" t="s">
        <v>22</v>
      </c>
      <c r="N60" t="s">
        <v>61</v>
      </c>
      <c r="O60" t="s">
        <v>39</v>
      </c>
      <c r="P60" t="s">
        <v>86</v>
      </c>
    </row>
    <row r="61" spans="1:16" x14ac:dyDescent="0.25">
      <c r="A61" t="s">
        <v>184</v>
      </c>
      <c r="B61" s="2">
        <v>45975</v>
      </c>
      <c r="C61" t="s">
        <v>105</v>
      </c>
      <c r="D61" t="s">
        <v>18</v>
      </c>
      <c r="E61">
        <v>31</v>
      </c>
      <c r="F61" t="s">
        <v>76</v>
      </c>
      <c r="G61" t="s">
        <v>68</v>
      </c>
      <c r="H61" t="s">
        <v>69</v>
      </c>
      <c r="I61">
        <v>3</v>
      </c>
      <c r="J61">
        <v>1499</v>
      </c>
      <c r="K61">
        <v>4497</v>
      </c>
      <c r="L61">
        <v>10</v>
      </c>
      <c r="M61" t="s">
        <v>38</v>
      </c>
      <c r="N61" t="s">
        <v>47</v>
      </c>
      <c r="O61" t="s">
        <v>24</v>
      </c>
      <c r="P61" t="s">
        <v>32</v>
      </c>
    </row>
    <row r="62" spans="1:16" x14ac:dyDescent="0.25">
      <c r="A62" t="s">
        <v>185</v>
      </c>
      <c r="B62" s="2">
        <v>45867</v>
      </c>
      <c r="C62" t="s">
        <v>186</v>
      </c>
      <c r="D62" t="s">
        <v>35</v>
      </c>
      <c r="E62">
        <v>36</v>
      </c>
      <c r="F62" t="s">
        <v>98</v>
      </c>
      <c r="G62" t="s">
        <v>68</v>
      </c>
      <c r="H62" t="s">
        <v>73</v>
      </c>
      <c r="I62">
        <v>2</v>
      </c>
      <c r="J62">
        <v>199</v>
      </c>
      <c r="K62">
        <v>398</v>
      </c>
      <c r="L62">
        <v>5</v>
      </c>
      <c r="M62" t="s">
        <v>46</v>
      </c>
      <c r="N62" t="s">
        <v>31</v>
      </c>
      <c r="O62" t="s">
        <v>48</v>
      </c>
      <c r="P62" t="s">
        <v>62</v>
      </c>
    </row>
    <row r="63" spans="1:16" x14ac:dyDescent="0.25">
      <c r="A63" t="s">
        <v>187</v>
      </c>
      <c r="B63" s="2">
        <v>45959</v>
      </c>
      <c r="C63" t="s">
        <v>188</v>
      </c>
      <c r="D63" t="s">
        <v>18</v>
      </c>
      <c r="E63">
        <v>45</v>
      </c>
      <c r="F63" t="s">
        <v>19</v>
      </c>
      <c r="G63" t="s">
        <v>20</v>
      </c>
      <c r="H63" t="s">
        <v>52</v>
      </c>
      <c r="I63">
        <v>3</v>
      </c>
      <c r="J63">
        <v>1999</v>
      </c>
      <c r="K63">
        <v>5997</v>
      </c>
      <c r="L63">
        <v>20</v>
      </c>
      <c r="M63" t="s">
        <v>53</v>
      </c>
      <c r="N63" t="s">
        <v>47</v>
      </c>
      <c r="O63" t="s">
        <v>39</v>
      </c>
      <c r="P63" t="s">
        <v>65</v>
      </c>
    </row>
    <row r="64" spans="1:16" x14ac:dyDescent="0.25">
      <c r="A64" t="s">
        <v>189</v>
      </c>
      <c r="B64" s="2">
        <v>45962</v>
      </c>
      <c r="C64" t="s">
        <v>190</v>
      </c>
      <c r="D64" t="s">
        <v>35</v>
      </c>
      <c r="E64">
        <v>46</v>
      </c>
      <c r="F64" t="s">
        <v>19</v>
      </c>
      <c r="G64" t="s">
        <v>20</v>
      </c>
      <c r="H64" t="s">
        <v>21</v>
      </c>
      <c r="I64">
        <v>2</v>
      </c>
      <c r="J64">
        <v>499</v>
      </c>
      <c r="K64">
        <v>998</v>
      </c>
      <c r="L64">
        <v>15</v>
      </c>
      <c r="M64" t="s">
        <v>46</v>
      </c>
      <c r="N64" t="s">
        <v>61</v>
      </c>
      <c r="O64" t="s">
        <v>39</v>
      </c>
      <c r="P64" t="s">
        <v>78</v>
      </c>
    </row>
    <row r="65" spans="1:16" x14ac:dyDescent="0.25">
      <c r="A65" t="s">
        <v>191</v>
      </c>
      <c r="B65" s="2">
        <v>45964</v>
      </c>
      <c r="C65" t="s">
        <v>192</v>
      </c>
      <c r="D65" t="s">
        <v>35</v>
      </c>
      <c r="E65">
        <v>38</v>
      </c>
      <c r="F65" t="s">
        <v>43</v>
      </c>
      <c r="G65" t="s">
        <v>68</v>
      </c>
      <c r="H65" t="s">
        <v>69</v>
      </c>
      <c r="I65">
        <v>4</v>
      </c>
      <c r="J65">
        <v>249</v>
      </c>
      <c r="K65">
        <v>996</v>
      </c>
      <c r="L65">
        <v>0</v>
      </c>
      <c r="M65" t="s">
        <v>38</v>
      </c>
      <c r="N65" t="s">
        <v>47</v>
      </c>
      <c r="O65" t="s">
        <v>48</v>
      </c>
      <c r="P65" t="s">
        <v>193</v>
      </c>
    </row>
    <row r="66" spans="1:16" x14ac:dyDescent="0.25">
      <c r="A66" t="s">
        <v>194</v>
      </c>
      <c r="B66" s="2">
        <v>45678</v>
      </c>
      <c r="C66" t="s">
        <v>34</v>
      </c>
      <c r="D66" t="s">
        <v>18</v>
      </c>
      <c r="E66">
        <v>48</v>
      </c>
      <c r="F66" t="s">
        <v>51</v>
      </c>
      <c r="G66" t="s">
        <v>68</v>
      </c>
      <c r="H66" t="s">
        <v>73</v>
      </c>
      <c r="I66">
        <v>3</v>
      </c>
      <c r="J66">
        <v>1499</v>
      </c>
      <c r="K66">
        <v>4497</v>
      </c>
      <c r="L66">
        <v>10</v>
      </c>
      <c r="M66" t="s">
        <v>53</v>
      </c>
      <c r="N66" t="s">
        <v>61</v>
      </c>
      <c r="O66" t="s">
        <v>48</v>
      </c>
      <c r="P66" t="s">
        <v>82</v>
      </c>
    </row>
    <row r="67" spans="1:16" x14ac:dyDescent="0.25">
      <c r="A67" t="s">
        <v>195</v>
      </c>
      <c r="B67" s="2">
        <v>45828</v>
      </c>
      <c r="C67" t="s">
        <v>139</v>
      </c>
      <c r="D67" t="s">
        <v>18</v>
      </c>
      <c r="E67">
        <v>28</v>
      </c>
      <c r="F67" t="s">
        <v>60</v>
      </c>
      <c r="G67" t="s">
        <v>20</v>
      </c>
      <c r="H67" t="s">
        <v>120</v>
      </c>
      <c r="I67">
        <v>3</v>
      </c>
      <c r="J67">
        <v>799</v>
      </c>
      <c r="K67">
        <v>2397</v>
      </c>
      <c r="L67">
        <v>15</v>
      </c>
      <c r="M67" t="s">
        <v>22</v>
      </c>
      <c r="N67" t="s">
        <v>31</v>
      </c>
      <c r="O67" t="s">
        <v>48</v>
      </c>
      <c r="P67" t="s">
        <v>157</v>
      </c>
    </row>
    <row r="68" spans="1:16" x14ac:dyDescent="0.25">
      <c r="A68" t="s">
        <v>196</v>
      </c>
      <c r="B68" s="2">
        <v>45819</v>
      </c>
      <c r="C68" t="s">
        <v>197</v>
      </c>
      <c r="D68" t="s">
        <v>35</v>
      </c>
      <c r="E68">
        <v>25</v>
      </c>
      <c r="F68" t="s">
        <v>28</v>
      </c>
      <c r="G68" t="s">
        <v>68</v>
      </c>
      <c r="H68" t="s">
        <v>73</v>
      </c>
      <c r="I68">
        <v>4</v>
      </c>
      <c r="J68">
        <v>249</v>
      </c>
      <c r="K68">
        <v>996</v>
      </c>
      <c r="L68">
        <v>20</v>
      </c>
      <c r="M68" t="s">
        <v>38</v>
      </c>
      <c r="N68" t="s">
        <v>61</v>
      </c>
      <c r="O68" t="s">
        <v>39</v>
      </c>
      <c r="P68" t="s">
        <v>117</v>
      </c>
    </row>
    <row r="69" spans="1:16" x14ac:dyDescent="0.25">
      <c r="A69" t="s">
        <v>198</v>
      </c>
      <c r="B69" s="2">
        <v>45913</v>
      </c>
      <c r="C69" t="s">
        <v>199</v>
      </c>
      <c r="D69" t="s">
        <v>35</v>
      </c>
      <c r="E69">
        <v>21</v>
      </c>
      <c r="F69" t="s">
        <v>76</v>
      </c>
      <c r="G69" t="s">
        <v>29</v>
      </c>
      <c r="H69" t="s">
        <v>200</v>
      </c>
      <c r="I69">
        <v>3</v>
      </c>
      <c r="J69">
        <v>1499</v>
      </c>
      <c r="K69">
        <v>4497</v>
      </c>
      <c r="L69">
        <v>10</v>
      </c>
      <c r="M69" t="s">
        <v>85</v>
      </c>
      <c r="N69" t="s">
        <v>47</v>
      </c>
      <c r="O69" t="s">
        <v>39</v>
      </c>
      <c r="P69" t="s">
        <v>62</v>
      </c>
    </row>
    <row r="70" spans="1:16" x14ac:dyDescent="0.25">
      <c r="A70" t="s">
        <v>201</v>
      </c>
      <c r="B70" s="2">
        <v>45969</v>
      </c>
      <c r="C70" t="s">
        <v>202</v>
      </c>
      <c r="D70" t="s">
        <v>18</v>
      </c>
      <c r="E70">
        <v>37</v>
      </c>
      <c r="F70" t="s">
        <v>98</v>
      </c>
      <c r="G70" t="s">
        <v>36</v>
      </c>
      <c r="H70" t="s">
        <v>156</v>
      </c>
      <c r="I70">
        <v>1</v>
      </c>
      <c r="J70">
        <v>1999</v>
      </c>
      <c r="K70">
        <v>1999</v>
      </c>
      <c r="L70">
        <v>20</v>
      </c>
      <c r="M70" t="s">
        <v>22</v>
      </c>
      <c r="N70" t="s">
        <v>23</v>
      </c>
      <c r="O70" t="s">
        <v>24</v>
      </c>
      <c r="P70" t="s">
        <v>203</v>
      </c>
    </row>
    <row r="71" spans="1:16" x14ac:dyDescent="0.25">
      <c r="A71" t="s">
        <v>204</v>
      </c>
      <c r="B71" s="2">
        <v>45807</v>
      </c>
      <c r="C71" t="s">
        <v>205</v>
      </c>
      <c r="D71" t="s">
        <v>35</v>
      </c>
      <c r="E71">
        <v>44</v>
      </c>
      <c r="F71" t="s">
        <v>51</v>
      </c>
      <c r="G71" t="s">
        <v>36</v>
      </c>
      <c r="H71" t="s">
        <v>156</v>
      </c>
      <c r="I71">
        <v>2</v>
      </c>
      <c r="J71">
        <v>999</v>
      </c>
      <c r="K71">
        <v>1998</v>
      </c>
      <c r="L71">
        <v>15</v>
      </c>
      <c r="M71" t="s">
        <v>53</v>
      </c>
      <c r="N71" t="s">
        <v>61</v>
      </c>
      <c r="O71" t="s">
        <v>48</v>
      </c>
      <c r="P71" t="s">
        <v>65</v>
      </c>
    </row>
    <row r="72" spans="1:16" x14ac:dyDescent="0.25">
      <c r="A72" t="s">
        <v>206</v>
      </c>
      <c r="B72" s="2">
        <v>45727</v>
      </c>
      <c r="C72" t="s">
        <v>107</v>
      </c>
      <c r="D72" t="s">
        <v>35</v>
      </c>
      <c r="E72">
        <v>44</v>
      </c>
      <c r="F72" t="s">
        <v>60</v>
      </c>
      <c r="G72" t="s">
        <v>36</v>
      </c>
      <c r="H72" t="s">
        <v>102</v>
      </c>
      <c r="I72">
        <v>5</v>
      </c>
      <c r="J72">
        <v>1299</v>
      </c>
      <c r="K72">
        <v>6495</v>
      </c>
      <c r="L72">
        <v>20</v>
      </c>
      <c r="M72" t="s">
        <v>46</v>
      </c>
      <c r="N72" t="s">
        <v>23</v>
      </c>
      <c r="O72" t="s">
        <v>39</v>
      </c>
      <c r="P72" t="s">
        <v>86</v>
      </c>
    </row>
    <row r="73" spans="1:16" x14ac:dyDescent="0.25">
      <c r="A73" t="s">
        <v>207</v>
      </c>
      <c r="B73" s="2">
        <v>45886</v>
      </c>
      <c r="C73" t="s">
        <v>56</v>
      </c>
      <c r="D73" t="s">
        <v>35</v>
      </c>
      <c r="E73">
        <v>40</v>
      </c>
      <c r="F73" t="s">
        <v>60</v>
      </c>
      <c r="G73" t="s">
        <v>68</v>
      </c>
      <c r="H73" t="s">
        <v>94</v>
      </c>
      <c r="I73">
        <v>4</v>
      </c>
      <c r="J73">
        <v>299</v>
      </c>
      <c r="K73">
        <v>1196</v>
      </c>
      <c r="L73">
        <v>20</v>
      </c>
      <c r="M73" t="s">
        <v>85</v>
      </c>
      <c r="N73" t="s">
        <v>61</v>
      </c>
      <c r="O73" t="s">
        <v>39</v>
      </c>
      <c r="P73" t="s">
        <v>57</v>
      </c>
    </row>
    <row r="74" spans="1:16" x14ac:dyDescent="0.25">
      <c r="A74" t="s">
        <v>208</v>
      </c>
      <c r="B74" s="2">
        <v>45777</v>
      </c>
      <c r="C74" t="s">
        <v>209</v>
      </c>
      <c r="D74" t="s">
        <v>35</v>
      </c>
      <c r="E74">
        <v>20</v>
      </c>
      <c r="F74" t="s">
        <v>60</v>
      </c>
      <c r="G74" t="s">
        <v>29</v>
      </c>
      <c r="H74" t="s">
        <v>30</v>
      </c>
      <c r="I74">
        <v>5</v>
      </c>
      <c r="J74">
        <v>799</v>
      </c>
      <c r="K74">
        <v>3995</v>
      </c>
      <c r="L74">
        <v>15</v>
      </c>
      <c r="M74" t="s">
        <v>210</v>
      </c>
      <c r="N74" t="s">
        <v>61</v>
      </c>
      <c r="O74" t="s">
        <v>48</v>
      </c>
      <c r="P74" t="s">
        <v>65</v>
      </c>
    </row>
    <row r="75" spans="1:16" x14ac:dyDescent="0.25">
      <c r="A75" t="s">
        <v>211</v>
      </c>
      <c r="B75" s="2">
        <v>45960</v>
      </c>
      <c r="C75" t="s">
        <v>119</v>
      </c>
      <c r="D75" t="s">
        <v>18</v>
      </c>
      <c r="E75">
        <v>46</v>
      </c>
      <c r="F75" t="s">
        <v>19</v>
      </c>
      <c r="G75" t="s">
        <v>36</v>
      </c>
      <c r="H75" t="s">
        <v>156</v>
      </c>
      <c r="I75">
        <v>2</v>
      </c>
      <c r="J75">
        <v>1299</v>
      </c>
      <c r="K75">
        <v>2598</v>
      </c>
      <c r="L75">
        <v>20</v>
      </c>
      <c r="M75" t="s">
        <v>22</v>
      </c>
      <c r="N75" t="s">
        <v>23</v>
      </c>
      <c r="O75" t="s">
        <v>48</v>
      </c>
      <c r="P75" t="s">
        <v>65</v>
      </c>
    </row>
    <row r="76" spans="1:16" x14ac:dyDescent="0.25">
      <c r="A76" t="s">
        <v>212</v>
      </c>
      <c r="B76" s="2">
        <v>45793</v>
      </c>
      <c r="C76" t="s">
        <v>213</v>
      </c>
      <c r="D76" t="s">
        <v>35</v>
      </c>
      <c r="E76">
        <v>59</v>
      </c>
      <c r="F76" t="s">
        <v>19</v>
      </c>
      <c r="G76" t="s">
        <v>36</v>
      </c>
      <c r="H76" t="s">
        <v>102</v>
      </c>
      <c r="I76">
        <v>1</v>
      </c>
      <c r="J76">
        <v>999</v>
      </c>
      <c r="K76">
        <v>999</v>
      </c>
      <c r="L76">
        <v>10</v>
      </c>
      <c r="M76" t="s">
        <v>85</v>
      </c>
      <c r="N76" t="s">
        <v>61</v>
      </c>
      <c r="O76" t="s">
        <v>39</v>
      </c>
      <c r="P76" t="s">
        <v>82</v>
      </c>
    </row>
    <row r="77" spans="1:16" x14ac:dyDescent="0.25">
      <c r="A77" t="s">
        <v>214</v>
      </c>
      <c r="B77" s="2">
        <v>45778</v>
      </c>
      <c r="C77" t="s">
        <v>199</v>
      </c>
      <c r="D77" t="s">
        <v>35</v>
      </c>
      <c r="E77">
        <v>32</v>
      </c>
      <c r="F77" t="s">
        <v>19</v>
      </c>
      <c r="G77" t="s">
        <v>68</v>
      </c>
      <c r="H77" t="s">
        <v>73</v>
      </c>
      <c r="I77">
        <v>5</v>
      </c>
      <c r="J77">
        <v>249</v>
      </c>
      <c r="K77">
        <v>1245</v>
      </c>
      <c r="L77">
        <v>15</v>
      </c>
      <c r="M77" t="s">
        <v>38</v>
      </c>
      <c r="N77" t="s">
        <v>23</v>
      </c>
      <c r="O77" t="s">
        <v>39</v>
      </c>
      <c r="P77" t="s">
        <v>32</v>
      </c>
    </row>
    <row r="78" spans="1:16" x14ac:dyDescent="0.25">
      <c r="A78" t="s">
        <v>215</v>
      </c>
      <c r="B78" s="2">
        <v>45686</v>
      </c>
      <c r="C78" t="s">
        <v>180</v>
      </c>
      <c r="D78" t="s">
        <v>35</v>
      </c>
      <c r="E78">
        <v>41</v>
      </c>
      <c r="F78" t="s">
        <v>28</v>
      </c>
      <c r="G78" t="s">
        <v>44</v>
      </c>
      <c r="H78" t="s">
        <v>45</v>
      </c>
      <c r="I78">
        <v>1</v>
      </c>
      <c r="J78">
        <v>599</v>
      </c>
      <c r="K78">
        <v>599</v>
      </c>
      <c r="L78">
        <v>5</v>
      </c>
      <c r="M78" t="s">
        <v>53</v>
      </c>
      <c r="N78" t="s">
        <v>61</v>
      </c>
      <c r="O78" t="s">
        <v>48</v>
      </c>
      <c r="P78" t="s">
        <v>32</v>
      </c>
    </row>
    <row r="79" spans="1:16" x14ac:dyDescent="0.25">
      <c r="A79" t="s">
        <v>216</v>
      </c>
      <c r="B79" s="2">
        <v>45853</v>
      </c>
      <c r="C79" t="s">
        <v>142</v>
      </c>
      <c r="D79" t="s">
        <v>18</v>
      </c>
      <c r="E79">
        <v>49</v>
      </c>
      <c r="F79" t="s">
        <v>124</v>
      </c>
      <c r="G79" t="s">
        <v>29</v>
      </c>
      <c r="H79" t="s">
        <v>30</v>
      </c>
      <c r="I79">
        <v>1</v>
      </c>
      <c r="J79">
        <v>1499</v>
      </c>
      <c r="K79">
        <v>1499</v>
      </c>
      <c r="L79">
        <v>5</v>
      </c>
      <c r="M79" t="s">
        <v>22</v>
      </c>
      <c r="N79" t="s">
        <v>31</v>
      </c>
      <c r="O79" t="s">
        <v>39</v>
      </c>
      <c r="P79" t="s">
        <v>70</v>
      </c>
    </row>
    <row r="80" spans="1:16" x14ac:dyDescent="0.25">
      <c r="A80" t="s">
        <v>217</v>
      </c>
      <c r="B80" s="2">
        <v>45937</v>
      </c>
      <c r="C80" t="s">
        <v>218</v>
      </c>
      <c r="D80" t="s">
        <v>18</v>
      </c>
      <c r="E80">
        <v>46</v>
      </c>
      <c r="F80" t="s">
        <v>60</v>
      </c>
      <c r="G80" t="s">
        <v>20</v>
      </c>
      <c r="H80" t="s">
        <v>120</v>
      </c>
      <c r="I80">
        <v>3</v>
      </c>
      <c r="J80">
        <v>1999</v>
      </c>
      <c r="K80">
        <v>5997</v>
      </c>
      <c r="L80">
        <v>20</v>
      </c>
      <c r="M80" t="s">
        <v>46</v>
      </c>
      <c r="N80" t="s">
        <v>61</v>
      </c>
      <c r="O80" t="s">
        <v>48</v>
      </c>
      <c r="P80" t="s">
        <v>70</v>
      </c>
    </row>
    <row r="81" spans="1:16" x14ac:dyDescent="0.25">
      <c r="A81" t="s">
        <v>219</v>
      </c>
      <c r="B81" s="2">
        <v>45905</v>
      </c>
      <c r="C81" t="s">
        <v>75</v>
      </c>
      <c r="D81" t="s">
        <v>18</v>
      </c>
      <c r="E81">
        <v>42</v>
      </c>
      <c r="F81" t="s">
        <v>60</v>
      </c>
      <c r="G81" t="s">
        <v>36</v>
      </c>
      <c r="H81" t="s">
        <v>37</v>
      </c>
      <c r="I81">
        <v>2</v>
      </c>
      <c r="J81">
        <v>799</v>
      </c>
      <c r="K81">
        <v>1598</v>
      </c>
      <c r="L81">
        <v>20</v>
      </c>
      <c r="M81" t="s">
        <v>46</v>
      </c>
      <c r="N81" t="s">
        <v>31</v>
      </c>
      <c r="O81" t="s">
        <v>24</v>
      </c>
      <c r="P81" t="s">
        <v>157</v>
      </c>
    </row>
    <row r="82" spans="1:16" x14ac:dyDescent="0.25">
      <c r="A82" t="s">
        <v>220</v>
      </c>
      <c r="B82" s="2">
        <v>45683</v>
      </c>
      <c r="C82" t="s">
        <v>221</v>
      </c>
      <c r="D82" t="s">
        <v>35</v>
      </c>
      <c r="E82">
        <v>36</v>
      </c>
      <c r="F82" t="s">
        <v>76</v>
      </c>
      <c r="G82" t="s">
        <v>44</v>
      </c>
      <c r="H82" t="s">
        <v>45</v>
      </c>
      <c r="I82">
        <v>5</v>
      </c>
      <c r="J82">
        <v>1999</v>
      </c>
      <c r="K82">
        <v>9995</v>
      </c>
      <c r="L82">
        <v>20</v>
      </c>
      <c r="M82" t="s">
        <v>46</v>
      </c>
      <c r="N82" t="s">
        <v>47</v>
      </c>
      <c r="O82" t="s">
        <v>48</v>
      </c>
      <c r="P82" t="s">
        <v>54</v>
      </c>
    </row>
    <row r="83" spans="1:16" x14ac:dyDescent="0.25">
      <c r="A83" t="s">
        <v>222</v>
      </c>
      <c r="B83" s="2">
        <v>45707</v>
      </c>
      <c r="C83" t="s">
        <v>199</v>
      </c>
      <c r="D83" t="s">
        <v>18</v>
      </c>
      <c r="E83">
        <v>37</v>
      </c>
      <c r="F83" t="s">
        <v>51</v>
      </c>
      <c r="G83" t="s">
        <v>68</v>
      </c>
      <c r="H83" t="s">
        <v>171</v>
      </c>
      <c r="I83">
        <v>2</v>
      </c>
      <c r="J83">
        <v>1999</v>
      </c>
      <c r="K83">
        <v>3998</v>
      </c>
      <c r="L83">
        <v>0</v>
      </c>
      <c r="M83" t="s">
        <v>85</v>
      </c>
      <c r="N83" t="s">
        <v>31</v>
      </c>
      <c r="O83" t="s">
        <v>48</v>
      </c>
      <c r="P83" t="s">
        <v>65</v>
      </c>
    </row>
    <row r="84" spans="1:16" x14ac:dyDescent="0.25">
      <c r="A84" t="s">
        <v>223</v>
      </c>
      <c r="B84" s="2">
        <v>45870</v>
      </c>
      <c r="C84" t="s">
        <v>224</v>
      </c>
      <c r="D84" t="s">
        <v>18</v>
      </c>
      <c r="E84">
        <v>26</v>
      </c>
      <c r="F84" t="s">
        <v>60</v>
      </c>
      <c r="G84" t="s">
        <v>20</v>
      </c>
      <c r="H84" t="s">
        <v>77</v>
      </c>
      <c r="I84">
        <v>3</v>
      </c>
      <c r="J84">
        <v>2499</v>
      </c>
      <c r="K84">
        <v>7497</v>
      </c>
      <c r="L84">
        <v>20</v>
      </c>
      <c r="M84" t="s">
        <v>85</v>
      </c>
      <c r="N84" t="s">
        <v>31</v>
      </c>
      <c r="O84" t="s">
        <v>24</v>
      </c>
      <c r="P84" t="s">
        <v>70</v>
      </c>
    </row>
    <row r="85" spans="1:16" x14ac:dyDescent="0.25">
      <c r="A85" t="s">
        <v>225</v>
      </c>
      <c r="B85" s="2">
        <v>45897</v>
      </c>
      <c r="C85" t="s">
        <v>226</v>
      </c>
      <c r="D85" t="s">
        <v>18</v>
      </c>
      <c r="E85">
        <v>32</v>
      </c>
      <c r="F85" t="s">
        <v>28</v>
      </c>
      <c r="G85" t="s">
        <v>36</v>
      </c>
      <c r="H85" t="s">
        <v>37</v>
      </c>
      <c r="I85">
        <v>3</v>
      </c>
      <c r="J85">
        <v>249</v>
      </c>
      <c r="K85">
        <v>747</v>
      </c>
      <c r="L85">
        <v>20</v>
      </c>
      <c r="M85" t="s">
        <v>46</v>
      </c>
      <c r="N85" t="s">
        <v>23</v>
      </c>
      <c r="O85" t="s">
        <v>39</v>
      </c>
      <c r="P85" t="s">
        <v>121</v>
      </c>
    </row>
    <row r="86" spans="1:16" x14ac:dyDescent="0.25">
      <c r="A86" t="s">
        <v>227</v>
      </c>
      <c r="B86" s="2">
        <v>45846</v>
      </c>
      <c r="C86" t="s">
        <v>167</v>
      </c>
      <c r="D86" t="s">
        <v>35</v>
      </c>
      <c r="E86">
        <v>55</v>
      </c>
      <c r="F86" t="s">
        <v>28</v>
      </c>
      <c r="G86" t="s">
        <v>44</v>
      </c>
      <c r="H86" t="s">
        <v>151</v>
      </c>
      <c r="I86">
        <v>1</v>
      </c>
      <c r="J86">
        <v>999</v>
      </c>
      <c r="K86">
        <v>999</v>
      </c>
      <c r="L86">
        <v>10</v>
      </c>
      <c r="M86" t="s">
        <v>38</v>
      </c>
      <c r="N86" t="s">
        <v>47</v>
      </c>
      <c r="O86" t="s">
        <v>39</v>
      </c>
      <c r="P86" t="s">
        <v>121</v>
      </c>
    </row>
    <row r="87" spans="1:16" x14ac:dyDescent="0.25">
      <c r="A87" t="s">
        <v>228</v>
      </c>
      <c r="B87" s="2">
        <v>45771</v>
      </c>
      <c r="C87" t="s">
        <v>229</v>
      </c>
      <c r="D87" t="s">
        <v>18</v>
      </c>
      <c r="E87">
        <v>58</v>
      </c>
      <c r="F87" t="s">
        <v>51</v>
      </c>
      <c r="G87" t="s">
        <v>68</v>
      </c>
      <c r="H87" t="s">
        <v>94</v>
      </c>
      <c r="I87">
        <v>3</v>
      </c>
      <c r="J87">
        <v>1499</v>
      </c>
      <c r="K87">
        <v>4497</v>
      </c>
      <c r="L87">
        <v>10</v>
      </c>
      <c r="M87" t="s">
        <v>22</v>
      </c>
      <c r="N87" t="s">
        <v>23</v>
      </c>
      <c r="O87" t="s">
        <v>24</v>
      </c>
      <c r="P87" t="s">
        <v>117</v>
      </c>
    </row>
    <row r="88" spans="1:16" x14ac:dyDescent="0.25">
      <c r="A88" t="s">
        <v>230</v>
      </c>
      <c r="B88" s="2">
        <v>45707</v>
      </c>
      <c r="C88" t="s">
        <v>202</v>
      </c>
      <c r="D88" t="s">
        <v>18</v>
      </c>
      <c r="E88">
        <v>42</v>
      </c>
      <c r="F88" t="s">
        <v>51</v>
      </c>
      <c r="G88" t="s">
        <v>20</v>
      </c>
      <c r="H88" t="s">
        <v>77</v>
      </c>
      <c r="I88">
        <v>4</v>
      </c>
      <c r="J88">
        <v>249</v>
      </c>
      <c r="K88">
        <v>996</v>
      </c>
      <c r="L88">
        <v>10</v>
      </c>
      <c r="M88" t="s">
        <v>85</v>
      </c>
      <c r="N88" t="s">
        <v>61</v>
      </c>
      <c r="O88" t="s">
        <v>48</v>
      </c>
      <c r="P88" t="s">
        <v>65</v>
      </c>
    </row>
    <row r="89" spans="1:16" x14ac:dyDescent="0.25">
      <c r="A89" t="s">
        <v>231</v>
      </c>
      <c r="B89" s="2">
        <v>45866</v>
      </c>
      <c r="C89" t="s">
        <v>150</v>
      </c>
      <c r="D89" t="s">
        <v>18</v>
      </c>
      <c r="E89">
        <v>41</v>
      </c>
      <c r="F89" t="s">
        <v>76</v>
      </c>
      <c r="G89" t="s">
        <v>36</v>
      </c>
      <c r="H89" t="s">
        <v>156</v>
      </c>
      <c r="I89">
        <v>4</v>
      </c>
      <c r="J89">
        <v>1499</v>
      </c>
      <c r="K89">
        <v>5996</v>
      </c>
      <c r="L89">
        <v>15</v>
      </c>
      <c r="M89" t="s">
        <v>22</v>
      </c>
      <c r="N89" t="s">
        <v>47</v>
      </c>
      <c r="O89" t="s">
        <v>39</v>
      </c>
      <c r="P89" t="s">
        <v>203</v>
      </c>
    </row>
    <row r="90" spans="1:16" x14ac:dyDescent="0.25">
      <c r="A90" t="s">
        <v>232</v>
      </c>
      <c r="B90" s="2">
        <v>45861</v>
      </c>
      <c r="C90" t="s">
        <v>150</v>
      </c>
      <c r="D90" t="s">
        <v>18</v>
      </c>
      <c r="E90">
        <v>25</v>
      </c>
      <c r="F90" t="s">
        <v>51</v>
      </c>
      <c r="G90" t="s">
        <v>44</v>
      </c>
      <c r="H90" t="s">
        <v>151</v>
      </c>
      <c r="I90">
        <v>3</v>
      </c>
      <c r="J90">
        <v>199</v>
      </c>
      <c r="K90">
        <v>597</v>
      </c>
      <c r="L90">
        <v>0</v>
      </c>
      <c r="M90" t="s">
        <v>53</v>
      </c>
      <c r="N90" t="s">
        <v>23</v>
      </c>
      <c r="O90" t="s">
        <v>24</v>
      </c>
      <c r="P90" t="s">
        <v>57</v>
      </c>
    </row>
    <row r="91" spans="1:16" x14ac:dyDescent="0.25">
      <c r="A91" t="s">
        <v>233</v>
      </c>
      <c r="B91" s="2">
        <v>45693</v>
      </c>
      <c r="C91" t="s">
        <v>34</v>
      </c>
      <c r="D91" t="s">
        <v>18</v>
      </c>
      <c r="E91">
        <v>55</v>
      </c>
      <c r="F91" t="s">
        <v>76</v>
      </c>
      <c r="G91" t="s">
        <v>29</v>
      </c>
      <c r="H91" t="s">
        <v>30</v>
      </c>
      <c r="I91">
        <v>5</v>
      </c>
      <c r="J91">
        <v>399</v>
      </c>
      <c r="K91">
        <v>1995</v>
      </c>
      <c r="L91">
        <v>5</v>
      </c>
      <c r="M91" t="s">
        <v>46</v>
      </c>
      <c r="N91" t="s">
        <v>47</v>
      </c>
      <c r="O91" t="s">
        <v>48</v>
      </c>
      <c r="P91" t="s">
        <v>121</v>
      </c>
    </row>
    <row r="92" spans="1:16" x14ac:dyDescent="0.25">
      <c r="A92" t="s">
        <v>234</v>
      </c>
      <c r="B92" s="2">
        <v>45786</v>
      </c>
      <c r="C92" t="s">
        <v>224</v>
      </c>
      <c r="D92" t="s">
        <v>18</v>
      </c>
      <c r="E92">
        <v>60</v>
      </c>
      <c r="F92" t="s">
        <v>98</v>
      </c>
      <c r="G92" t="s">
        <v>44</v>
      </c>
      <c r="H92" t="s">
        <v>235</v>
      </c>
      <c r="I92">
        <v>2</v>
      </c>
      <c r="J92">
        <v>1299</v>
      </c>
      <c r="K92">
        <v>2598</v>
      </c>
      <c r="L92">
        <v>5</v>
      </c>
      <c r="M92" t="s">
        <v>38</v>
      </c>
      <c r="N92" t="s">
        <v>31</v>
      </c>
      <c r="O92" t="s">
        <v>24</v>
      </c>
      <c r="P92" t="s">
        <v>193</v>
      </c>
    </row>
    <row r="93" spans="1:16" x14ac:dyDescent="0.25">
      <c r="A93" t="s">
        <v>236</v>
      </c>
      <c r="B93" s="2">
        <v>45684</v>
      </c>
      <c r="C93" t="s">
        <v>237</v>
      </c>
      <c r="D93" t="s">
        <v>35</v>
      </c>
      <c r="E93">
        <v>51</v>
      </c>
      <c r="F93" t="s">
        <v>19</v>
      </c>
      <c r="G93" t="s">
        <v>44</v>
      </c>
      <c r="H93" t="s">
        <v>45</v>
      </c>
      <c r="I93">
        <v>2</v>
      </c>
      <c r="J93">
        <v>499</v>
      </c>
      <c r="K93">
        <v>998</v>
      </c>
      <c r="L93">
        <v>0</v>
      </c>
      <c r="M93" t="s">
        <v>22</v>
      </c>
      <c r="N93" t="s">
        <v>61</v>
      </c>
      <c r="O93" t="s">
        <v>39</v>
      </c>
      <c r="P93" t="s">
        <v>78</v>
      </c>
    </row>
    <row r="94" spans="1:16" x14ac:dyDescent="0.25">
      <c r="A94" t="s">
        <v>238</v>
      </c>
      <c r="B94" s="2">
        <v>45771</v>
      </c>
      <c r="C94" t="s">
        <v>239</v>
      </c>
      <c r="D94" t="s">
        <v>18</v>
      </c>
      <c r="E94">
        <v>60</v>
      </c>
      <c r="F94" t="s">
        <v>43</v>
      </c>
      <c r="G94" t="s">
        <v>68</v>
      </c>
      <c r="H94" t="s">
        <v>73</v>
      </c>
      <c r="I94">
        <v>4</v>
      </c>
      <c r="J94">
        <v>1299</v>
      </c>
      <c r="K94">
        <v>5196</v>
      </c>
      <c r="L94">
        <v>15</v>
      </c>
      <c r="M94" t="s">
        <v>38</v>
      </c>
      <c r="N94" t="s">
        <v>23</v>
      </c>
      <c r="O94" t="s">
        <v>39</v>
      </c>
      <c r="P94" t="s">
        <v>157</v>
      </c>
    </row>
    <row r="95" spans="1:16" x14ac:dyDescent="0.25">
      <c r="A95" t="s">
        <v>240</v>
      </c>
      <c r="B95" s="2">
        <v>45885</v>
      </c>
      <c r="C95" t="s">
        <v>226</v>
      </c>
      <c r="D95" t="s">
        <v>18</v>
      </c>
      <c r="E95">
        <v>38</v>
      </c>
      <c r="F95" t="s">
        <v>124</v>
      </c>
      <c r="G95" t="s">
        <v>36</v>
      </c>
      <c r="H95" t="s">
        <v>156</v>
      </c>
      <c r="I95">
        <v>4</v>
      </c>
      <c r="J95">
        <v>2499</v>
      </c>
      <c r="K95">
        <v>9996</v>
      </c>
      <c r="L95">
        <v>0</v>
      </c>
      <c r="M95" t="s">
        <v>53</v>
      </c>
      <c r="N95" t="s">
        <v>31</v>
      </c>
      <c r="O95" t="s">
        <v>48</v>
      </c>
      <c r="P95" t="s">
        <v>193</v>
      </c>
    </row>
    <row r="96" spans="1:16" x14ac:dyDescent="0.25">
      <c r="A96" t="s">
        <v>241</v>
      </c>
      <c r="B96" s="2">
        <v>45929</v>
      </c>
      <c r="C96" t="s">
        <v>180</v>
      </c>
      <c r="D96" t="s">
        <v>35</v>
      </c>
      <c r="E96">
        <v>50</v>
      </c>
      <c r="F96" t="s">
        <v>28</v>
      </c>
      <c r="G96" t="s">
        <v>68</v>
      </c>
      <c r="H96" t="s">
        <v>171</v>
      </c>
      <c r="I96">
        <v>4</v>
      </c>
      <c r="J96">
        <v>1499</v>
      </c>
      <c r="K96">
        <v>5996</v>
      </c>
      <c r="L96">
        <v>0</v>
      </c>
      <c r="M96" t="s">
        <v>38</v>
      </c>
      <c r="N96" t="s">
        <v>47</v>
      </c>
      <c r="O96" t="s">
        <v>39</v>
      </c>
      <c r="P96" t="s">
        <v>62</v>
      </c>
    </row>
    <row r="97" spans="1:16" x14ac:dyDescent="0.25">
      <c r="A97" t="s">
        <v>242</v>
      </c>
      <c r="B97" s="2">
        <v>45862</v>
      </c>
      <c r="C97" t="s">
        <v>243</v>
      </c>
      <c r="D97" t="s">
        <v>18</v>
      </c>
      <c r="E97">
        <v>38</v>
      </c>
      <c r="F97" t="s">
        <v>28</v>
      </c>
      <c r="G97" t="s">
        <v>29</v>
      </c>
      <c r="H97" t="s">
        <v>140</v>
      </c>
      <c r="I97">
        <v>3</v>
      </c>
      <c r="J97">
        <v>999</v>
      </c>
      <c r="K97">
        <v>2997</v>
      </c>
      <c r="L97">
        <v>10</v>
      </c>
      <c r="M97" t="s">
        <v>46</v>
      </c>
      <c r="N97" t="s">
        <v>31</v>
      </c>
      <c r="O97" t="s">
        <v>24</v>
      </c>
      <c r="P97" t="s">
        <v>82</v>
      </c>
    </row>
    <row r="98" spans="1:16" x14ac:dyDescent="0.25">
      <c r="A98" t="s">
        <v>244</v>
      </c>
      <c r="B98" s="2">
        <v>45879</v>
      </c>
      <c r="C98" t="s">
        <v>50</v>
      </c>
      <c r="D98" t="s">
        <v>35</v>
      </c>
      <c r="E98">
        <v>26</v>
      </c>
      <c r="F98" t="s">
        <v>98</v>
      </c>
      <c r="G98" t="s">
        <v>20</v>
      </c>
      <c r="H98" t="s">
        <v>21</v>
      </c>
      <c r="I98">
        <v>1</v>
      </c>
      <c r="J98">
        <v>249</v>
      </c>
      <c r="K98">
        <v>249</v>
      </c>
      <c r="L98">
        <v>20</v>
      </c>
      <c r="M98" t="s">
        <v>85</v>
      </c>
      <c r="N98" t="s">
        <v>31</v>
      </c>
      <c r="O98" t="s">
        <v>48</v>
      </c>
      <c r="P98" t="s">
        <v>203</v>
      </c>
    </row>
    <row r="99" spans="1:16" x14ac:dyDescent="0.25">
      <c r="A99" t="s">
        <v>245</v>
      </c>
      <c r="B99" s="2">
        <v>45684</v>
      </c>
      <c r="C99" t="s">
        <v>116</v>
      </c>
      <c r="D99" t="s">
        <v>35</v>
      </c>
      <c r="E99">
        <v>40</v>
      </c>
      <c r="F99" t="s">
        <v>19</v>
      </c>
      <c r="G99" t="s">
        <v>36</v>
      </c>
      <c r="H99" t="s">
        <v>37</v>
      </c>
      <c r="I99">
        <v>4</v>
      </c>
      <c r="J99">
        <v>2499</v>
      </c>
      <c r="K99">
        <v>9996</v>
      </c>
      <c r="L99">
        <v>20</v>
      </c>
      <c r="M99" t="s">
        <v>85</v>
      </c>
      <c r="N99" t="s">
        <v>47</v>
      </c>
      <c r="O99" t="s">
        <v>24</v>
      </c>
      <c r="P99" t="s">
        <v>82</v>
      </c>
    </row>
    <row r="100" spans="1:16" x14ac:dyDescent="0.25">
      <c r="A100" t="s">
        <v>246</v>
      </c>
      <c r="B100" s="2">
        <v>45846</v>
      </c>
      <c r="C100" t="s">
        <v>80</v>
      </c>
      <c r="D100" t="s">
        <v>35</v>
      </c>
      <c r="E100">
        <v>54</v>
      </c>
      <c r="F100" t="s">
        <v>76</v>
      </c>
      <c r="G100" t="s">
        <v>29</v>
      </c>
      <c r="H100" t="s">
        <v>108</v>
      </c>
      <c r="I100">
        <v>3</v>
      </c>
      <c r="J100">
        <v>1299</v>
      </c>
      <c r="K100">
        <v>3897</v>
      </c>
      <c r="L100">
        <v>15</v>
      </c>
      <c r="M100" t="s">
        <v>85</v>
      </c>
      <c r="N100" t="s">
        <v>23</v>
      </c>
      <c r="O100" t="s">
        <v>48</v>
      </c>
      <c r="P100" t="s">
        <v>70</v>
      </c>
    </row>
    <row r="101" spans="1:16" x14ac:dyDescent="0.25">
      <c r="A101" t="s">
        <v>247</v>
      </c>
      <c r="B101" s="2">
        <v>45816</v>
      </c>
      <c r="C101" t="s">
        <v>213</v>
      </c>
      <c r="D101" t="s">
        <v>35</v>
      </c>
      <c r="E101">
        <v>18</v>
      </c>
      <c r="F101" t="s">
        <v>124</v>
      </c>
      <c r="G101" t="s">
        <v>20</v>
      </c>
      <c r="H101" t="s">
        <v>52</v>
      </c>
      <c r="I101">
        <v>3</v>
      </c>
      <c r="J101">
        <v>2499</v>
      </c>
      <c r="K101">
        <v>7497</v>
      </c>
      <c r="L101">
        <v>5</v>
      </c>
      <c r="M101" t="s">
        <v>85</v>
      </c>
      <c r="N101" t="s">
        <v>61</v>
      </c>
      <c r="O101" t="s">
        <v>24</v>
      </c>
      <c r="P101" t="s">
        <v>65</v>
      </c>
    </row>
    <row r="102" spans="1:16" x14ac:dyDescent="0.25">
      <c r="A102" t="s">
        <v>248</v>
      </c>
      <c r="B102" s="2">
        <v>45850</v>
      </c>
      <c r="C102" t="s">
        <v>243</v>
      </c>
      <c r="D102" t="s">
        <v>35</v>
      </c>
      <c r="E102">
        <v>39</v>
      </c>
      <c r="F102" t="s">
        <v>124</v>
      </c>
      <c r="G102" t="s">
        <v>20</v>
      </c>
      <c r="H102" t="s">
        <v>21</v>
      </c>
      <c r="I102">
        <v>5</v>
      </c>
      <c r="J102">
        <v>399</v>
      </c>
      <c r="K102">
        <v>1995</v>
      </c>
      <c r="L102">
        <v>10</v>
      </c>
      <c r="M102" t="s">
        <v>46</v>
      </c>
      <c r="N102" t="s">
        <v>31</v>
      </c>
      <c r="O102" t="s">
        <v>48</v>
      </c>
      <c r="P102" t="s">
        <v>40</v>
      </c>
    </row>
    <row r="103" spans="1:16" x14ac:dyDescent="0.25">
      <c r="A103" t="s">
        <v>249</v>
      </c>
      <c r="B103" s="2">
        <v>45974</v>
      </c>
      <c r="C103" t="s">
        <v>250</v>
      </c>
      <c r="D103" t="s">
        <v>18</v>
      </c>
      <c r="E103">
        <v>35</v>
      </c>
      <c r="F103" t="s">
        <v>51</v>
      </c>
      <c r="G103" t="s">
        <v>20</v>
      </c>
      <c r="H103" t="s">
        <v>21</v>
      </c>
      <c r="I103">
        <v>2</v>
      </c>
      <c r="J103">
        <v>299</v>
      </c>
      <c r="K103">
        <v>598</v>
      </c>
      <c r="L103">
        <v>15</v>
      </c>
      <c r="M103" t="s">
        <v>22</v>
      </c>
      <c r="N103" t="s">
        <v>61</v>
      </c>
      <c r="O103" t="s">
        <v>39</v>
      </c>
      <c r="P103" t="s">
        <v>70</v>
      </c>
    </row>
    <row r="104" spans="1:16" x14ac:dyDescent="0.25">
      <c r="A104" t="s">
        <v>251</v>
      </c>
      <c r="B104" s="2">
        <v>45878</v>
      </c>
      <c r="C104" t="s">
        <v>80</v>
      </c>
      <c r="D104" t="s">
        <v>35</v>
      </c>
      <c r="E104">
        <v>55</v>
      </c>
      <c r="F104" t="s">
        <v>51</v>
      </c>
      <c r="G104" t="s">
        <v>29</v>
      </c>
      <c r="H104" t="s">
        <v>200</v>
      </c>
      <c r="I104">
        <v>1</v>
      </c>
      <c r="J104">
        <v>599</v>
      </c>
      <c r="K104">
        <v>599</v>
      </c>
      <c r="L104">
        <v>20</v>
      </c>
      <c r="M104" t="s">
        <v>46</v>
      </c>
      <c r="N104" t="s">
        <v>23</v>
      </c>
      <c r="O104" t="s">
        <v>24</v>
      </c>
      <c r="P104" t="s">
        <v>157</v>
      </c>
    </row>
    <row r="105" spans="1:16" x14ac:dyDescent="0.25">
      <c r="A105" t="s">
        <v>252</v>
      </c>
      <c r="B105" s="2">
        <v>45812</v>
      </c>
      <c r="C105" t="s">
        <v>253</v>
      </c>
      <c r="D105" t="s">
        <v>18</v>
      </c>
      <c r="E105">
        <v>34</v>
      </c>
      <c r="F105" t="s">
        <v>43</v>
      </c>
      <c r="G105" t="s">
        <v>68</v>
      </c>
      <c r="H105" t="s">
        <v>73</v>
      </c>
      <c r="I105">
        <v>1</v>
      </c>
      <c r="J105">
        <v>399</v>
      </c>
      <c r="K105">
        <v>399</v>
      </c>
      <c r="L105">
        <v>10</v>
      </c>
      <c r="M105" t="s">
        <v>38</v>
      </c>
      <c r="N105" t="s">
        <v>23</v>
      </c>
      <c r="O105" t="s">
        <v>39</v>
      </c>
      <c r="P105" t="s">
        <v>134</v>
      </c>
    </row>
    <row r="106" spans="1:16" x14ac:dyDescent="0.25">
      <c r="A106" t="s">
        <v>254</v>
      </c>
      <c r="B106" s="2">
        <v>46018</v>
      </c>
      <c r="C106" t="s">
        <v>255</v>
      </c>
      <c r="D106" t="s">
        <v>35</v>
      </c>
      <c r="E106">
        <v>22</v>
      </c>
      <c r="F106" t="s">
        <v>28</v>
      </c>
      <c r="G106" t="s">
        <v>29</v>
      </c>
      <c r="H106" t="s">
        <v>30</v>
      </c>
      <c r="I106">
        <v>4</v>
      </c>
      <c r="J106">
        <v>1299</v>
      </c>
      <c r="K106">
        <v>5196</v>
      </c>
      <c r="L106">
        <v>0</v>
      </c>
      <c r="M106" t="s">
        <v>22</v>
      </c>
      <c r="N106" t="s">
        <v>23</v>
      </c>
      <c r="O106" t="s">
        <v>39</v>
      </c>
      <c r="P106" t="s">
        <v>25</v>
      </c>
    </row>
    <row r="107" spans="1:16" x14ac:dyDescent="0.25">
      <c r="A107" t="s">
        <v>256</v>
      </c>
      <c r="B107" s="2">
        <v>45865</v>
      </c>
      <c r="C107" t="s">
        <v>257</v>
      </c>
      <c r="D107" t="s">
        <v>35</v>
      </c>
      <c r="E107">
        <v>36</v>
      </c>
      <c r="F107" t="s">
        <v>19</v>
      </c>
      <c r="G107" t="s">
        <v>44</v>
      </c>
      <c r="H107" t="s">
        <v>151</v>
      </c>
      <c r="I107">
        <v>4</v>
      </c>
      <c r="J107">
        <v>1499</v>
      </c>
      <c r="K107">
        <v>5996</v>
      </c>
      <c r="L107">
        <v>15</v>
      </c>
      <c r="M107" t="s">
        <v>38</v>
      </c>
      <c r="N107" t="s">
        <v>31</v>
      </c>
      <c r="O107" t="s">
        <v>24</v>
      </c>
      <c r="P107" t="s">
        <v>40</v>
      </c>
    </row>
    <row r="108" spans="1:16" x14ac:dyDescent="0.25">
      <c r="A108" t="s">
        <v>258</v>
      </c>
      <c r="B108" s="2">
        <v>45712</v>
      </c>
      <c r="C108" t="s">
        <v>259</v>
      </c>
      <c r="D108" t="s">
        <v>35</v>
      </c>
      <c r="E108">
        <v>55</v>
      </c>
      <c r="F108" t="s">
        <v>28</v>
      </c>
      <c r="G108" t="s">
        <v>36</v>
      </c>
      <c r="H108" t="s">
        <v>37</v>
      </c>
      <c r="I108">
        <v>1</v>
      </c>
      <c r="J108">
        <v>799</v>
      </c>
      <c r="K108">
        <v>799</v>
      </c>
      <c r="L108">
        <v>20</v>
      </c>
      <c r="M108" t="s">
        <v>38</v>
      </c>
      <c r="N108" t="s">
        <v>61</v>
      </c>
      <c r="O108" t="s">
        <v>39</v>
      </c>
      <c r="P108" t="s">
        <v>57</v>
      </c>
    </row>
    <row r="109" spans="1:16" x14ac:dyDescent="0.25">
      <c r="A109" t="s">
        <v>260</v>
      </c>
      <c r="B109" s="2">
        <v>45919</v>
      </c>
      <c r="C109" t="s">
        <v>261</v>
      </c>
      <c r="D109" t="s">
        <v>18</v>
      </c>
      <c r="E109">
        <v>51</v>
      </c>
      <c r="F109" t="s">
        <v>76</v>
      </c>
      <c r="G109" t="s">
        <v>29</v>
      </c>
      <c r="H109" t="s">
        <v>64</v>
      </c>
      <c r="I109">
        <v>2</v>
      </c>
      <c r="J109">
        <v>249</v>
      </c>
      <c r="K109">
        <v>498</v>
      </c>
      <c r="L109">
        <v>10</v>
      </c>
      <c r="M109" t="s">
        <v>46</v>
      </c>
      <c r="N109" t="s">
        <v>47</v>
      </c>
      <c r="O109" t="s">
        <v>24</v>
      </c>
      <c r="P109" t="s">
        <v>203</v>
      </c>
    </row>
    <row r="110" spans="1:16" x14ac:dyDescent="0.25">
      <c r="A110" t="s">
        <v>262</v>
      </c>
      <c r="B110" s="2">
        <v>45966</v>
      </c>
      <c r="C110" t="s">
        <v>67</v>
      </c>
      <c r="D110" t="s">
        <v>18</v>
      </c>
      <c r="E110">
        <v>29</v>
      </c>
      <c r="F110" t="s">
        <v>51</v>
      </c>
      <c r="G110" t="s">
        <v>29</v>
      </c>
      <c r="H110" t="s">
        <v>64</v>
      </c>
      <c r="I110">
        <v>2</v>
      </c>
      <c r="J110">
        <v>299</v>
      </c>
      <c r="K110">
        <v>598</v>
      </c>
      <c r="L110">
        <v>15</v>
      </c>
      <c r="M110" t="s">
        <v>85</v>
      </c>
      <c r="N110" t="s">
        <v>61</v>
      </c>
      <c r="O110" t="s">
        <v>48</v>
      </c>
      <c r="P110" t="s">
        <v>193</v>
      </c>
    </row>
    <row r="111" spans="1:16" x14ac:dyDescent="0.25">
      <c r="A111" t="s">
        <v>263</v>
      </c>
      <c r="B111" s="2">
        <v>45883</v>
      </c>
      <c r="C111" t="s">
        <v>107</v>
      </c>
      <c r="D111" t="s">
        <v>35</v>
      </c>
      <c r="E111">
        <v>46</v>
      </c>
      <c r="F111" t="s">
        <v>43</v>
      </c>
      <c r="G111" t="s">
        <v>68</v>
      </c>
      <c r="H111" t="s">
        <v>171</v>
      </c>
      <c r="I111">
        <v>3</v>
      </c>
      <c r="J111">
        <v>299</v>
      </c>
      <c r="K111">
        <v>897</v>
      </c>
      <c r="L111">
        <v>10</v>
      </c>
      <c r="M111" t="s">
        <v>85</v>
      </c>
      <c r="N111" t="s">
        <v>23</v>
      </c>
      <c r="O111" t="s">
        <v>39</v>
      </c>
      <c r="P111" t="s">
        <v>78</v>
      </c>
    </row>
    <row r="112" spans="1:16" x14ac:dyDescent="0.25">
      <c r="A112" t="s">
        <v>264</v>
      </c>
      <c r="B112" s="2">
        <v>45677</v>
      </c>
      <c r="C112" t="s">
        <v>105</v>
      </c>
      <c r="D112" t="s">
        <v>35</v>
      </c>
      <c r="E112">
        <v>36</v>
      </c>
      <c r="F112" t="s">
        <v>19</v>
      </c>
      <c r="G112" t="s">
        <v>20</v>
      </c>
      <c r="H112" t="s">
        <v>77</v>
      </c>
      <c r="I112">
        <v>4</v>
      </c>
      <c r="J112">
        <v>999</v>
      </c>
      <c r="K112">
        <v>3996</v>
      </c>
      <c r="L112">
        <v>0</v>
      </c>
      <c r="M112" t="s">
        <v>85</v>
      </c>
      <c r="N112" t="s">
        <v>61</v>
      </c>
      <c r="O112" t="s">
        <v>39</v>
      </c>
      <c r="P112" t="s">
        <v>193</v>
      </c>
    </row>
    <row r="113" spans="1:16" x14ac:dyDescent="0.25">
      <c r="A113" t="s">
        <v>265</v>
      </c>
      <c r="B113" s="2">
        <v>45991</v>
      </c>
      <c r="C113" t="s">
        <v>266</v>
      </c>
      <c r="D113" t="s">
        <v>35</v>
      </c>
      <c r="E113">
        <v>56</v>
      </c>
      <c r="F113" t="s">
        <v>51</v>
      </c>
      <c r="G113" t="s">
        <v>267</v>
      </c>
      <c r="H113" t="s">
        <v>73</v>
      </c>
      <c r="I113">
        <v>4</v>
      </c>
      <c r="J113">
        <v>1499</v>
      </c>
      <c r="K113">
        <v>5996</v>
      </c>
      <c r="L113">
        <v>20</v>
      </c>
      <c r="M113" t="s">
        <v>53</v>
      </c>
      <c r="N113" t="s">
        <v>23</v>
      </c>
      <c r="O113" t="s">
        <v>39</v>
      </c>
      <c r="P113" t="s">
        <v>203</v>
      </c>
    </row>
    <row r="114" spans="1:16" x14ac:dyDescent="0.25">
      <c r="A114" t="s">
        <v>268</v>
      </c>
      <c r="B114" s="2">
        <v>45746</v>
      </c>
      <c r="C114" t="s">
        <v>192</v>
      </c>
      <c r="D114" t="s">
        <v>18</v>
      </c>
      <c r="E114">
        <v>46</v>
      </c>
      <c r="F114" t="s">
        <v>51</v>
      </c>
      <c r="G114" t="s">
        <v>44</v>
      </c>
      <c r="H114" t="s">
        <v>45</v>
      </c>
      <c r="I114">
        <v>5</v>
      </c>
      <c r="J114">
        <v>1999</v>
      </c>
      <c r="K114">
        <v>9995</v>
      </c>
      <c r="L114">
        <v>20</v>
      </c>
      <c r="M114" t="s">
        <v>85</v>
      </c>
      <c r="N114" t="s">
        <v>47</v>
      </c>
      <c r="O114" t="s">
        <v>39</v>
      </c>
      <c r="P114" t="s">
        <v>125</v>
      </c>
    </row>
    <row r="115" spans="1:16" x14ac:dyDescent="0.25">
      <c r="A115" t="s">
        <v>269</v>
      </c>
      <c r="B115" s="2">
        <v>46005</v>
      </c>
      <c r="C115" t="s">
        <v>270</v>
      </c>
      <c r="D115" t="s">
        <v>18</v>
      </c>
      <c r="E115">
        <v>58</v>
      </c>
      <c r="F115" t="s">
        <v>60</v>
      </c>
      <c r="G115" t="s">
        <v>44</v>
      </c>
      <c r="H115" t="s">
        <v>99</v>
      </c>
      <c r="I115">
        <v>4</v>
      </c>
      <c r="J115">
        <v>599</v>
      </c>
      <c r="K115">
        <v>2396</v>
      </c>
      <c r="L115">
        <v>0</v>
      </c>
      <c r="M115" t="s">
        <v>46</v>
      </c>
      <c r="N115" t="s">
        <v>23</v>
      </c>
      <c r="O115" t="s">
        <v>48</v>
      </c>
      <c r="P115" t="s">
        <v>157</v>
      </c>
    </row>
    <row r="116" spans="1:16" x14ac:dyDescent="0.25">
      <c r="A116" t="s">
        <v>271</v>
      </c>
      <c r="B116" s="2">
        <v>45828</v>
      </c>
      <c r="C116" t="s">
        <v>272</v>
      </c>
      <c r="D116" t="s">
        <v>18</v>
      </c>
      <c r="E116">
        <v>40</v>
      </c>
      <c r="F116" t="s">
        <v>43</v>
      </c>
      <c r="G116" t="s">
        <v>44</v>
      </c>
      <c r="H116" t="s">
        <v>177</v>
      </c>
      <c r="I116">
        <v>5</v>
      </c>
      <c r="J116">
        <v>299</v>
      </c>
      <c r="K116">
        <v>1495</v>
      </c>
      <c r="L116">
        <v>15</v>
      </c>
      <c r="M116" t="s">
        <v>53</v>
      </c>
      <c r="N116" t="s">
        <v>23</v>
      </c>
      <c r="O116" t="s">
        <v>39</v>
      </c>
      <c r="P116" t="s">
        <v>103</v>
      </c>
    </row>
    <row r="117" spans="1:16" x14ac:dyDescent="0.25">
      <c r="A117" t="s">
        <v>273</v>
      </c>
      <c r="B117" s="2">
        <v>46017</v>
      </c>
      <c r="C117" t="s">
        <v>274</v>
      </c>
      <c r="D117" t="s">
        <v>18</v>
      </c>
      <c r="E117">
        <v>59</v>
      </c>
      <c r="F117" t="s">
        <v>28</v>
      </c>
      <c r="G117" t="s">
        <v>36</v>
      </c>
      <c r="H117" t="s">
        <v>37</v>
      </c>
      <c r="I117">
        <v>2</v>
      </c>
      <c r="J117">
        <v>1999</v>
      </c>
      <c r="K117">
        <v>3998</v>
      </c>
      <c r="L117">
        <v>20</v>
      </c>
      <c r="M117" t="s">
        <v>46</v>
      </c>
      <c r="N117" t="s">
        <v>23</v>
      </c>
      <c r="O117" t="s">
        <v>39</v>
      </c>
      <c r="P117" t="s">
        <v>86</v>
      </c>
    </row>
    <row r="118" spans="1:16" x14ac:dyDescent="0.25">
      <c r="A118" t="s">
        <v>275</v>
      </c>
      <c r="B118" s="2">
        <v>45756</v>
      </c>
      <c r="C118" t="s">
        <v>276</v>
      </c>
      <c r="D118" t="s">
        <v>18</v>
      </c>
      <c r="E118">
        <v>27</v>
      </c>
      <c r="F118" t="s">
        <v>19</v>
      </c>
      <c r="G118" t="s">
        <v>29</v>
      </c>
      <c r="H118" t="s">
        <v>30</v>
      </c>
      <c r="I118">
        <v>3</v>
      </c>
      <c r="J118">
        <v>999</v>
      </c>
      <c r="K118">
        <v>2997</v>
      </c>
      <c r="L118">
        <v>10</v>
      </c>
      <c r="M118" t="s">
        <v>38</v>
      </c>
      <c r="N118" t="s">
        <v>23</v>
      </c>
      <c r="O118" t="s">
        <v>48</v>
      </c>
      <c r="P118" t="s">
        <v>57</v>
      </c>
    </row>
    <row r="119" spans="1:16" x14ac:dyDescent="0.25">
      <c r="A119" t="s">
        <v>277</v>
      </c>
      <c r="B119" s="2">
        <v>45736</v>
      </c>
      <c r="C119" t="s">
        <v>218</v>
      </c>
      <c r="D119" t="s">
        <v>18</v>
      </c>
      <c r="E119">
        <v>57</v>
      </c>
      <c r="F119" t="s">
        <v>124</v>
      </c>
      <c r="G119" t="s">
        <v>68</v>
      </c>
      <c r="H119" t="s">
        <v>137</v>
      </c>
      <c r="I119">
        <v>5</v>
      </c>
      <c r="J119">
        <v>799</v>
      </c>
      <c r="K119">
        <v>3995</v>
      </c>
      <c r="L119">
        <v>15</v>
      </c>
      <c r="M119" t="s">
        <v>38</v>
      </c>
      <c r="N119" t="s">
        <v>61</v>
      </c>
      <c r="O119" t="s">
        <v>39</v>
      </c>
      <c r="P119" t="s">
        <v>89</v>
      </c>
    </row>
    <row r="120" spans="1:16" x14ac:dyDescent="0.25">
      <c r="A120" t="s">
        <v>278</v>
      </c>
      <c r="B120" s="2">
        <v>45887</v>
      </c>
      <c r="C120" t="s">
        <v>255</v>
      </c>
      <c r="D120" t="s">
        <v>18</v>
      </c>
      <c r="E120">
        <v>37</v>
      </c>
      <c r="F120" t="s">
        <v>51</v>
      </c>
      <c r="G120" t="s">
        <v>36</v>
      </c>
      <c r="H120" t="s">
        <v>133</v>
      </c>
      <c r="I120">
        <v>3</v>
      </c>
      <c r="J120">
        <v>2499</v>
      </c>
      <c r="K120">
        <v>7497</v>
      </c>
      <c r="L120">
        <v>5</v>
      </c>
      <c r="M120" t="s">
        <v>46</v>
      </c>
      <c r="N120" t="s">
        <v>61</v>
      </c>
      <c r="O120" t="s">
        <v>39</v>
      </c>
      <c r="P120" t="s">
        <v>86</v>
      </c>
    </row>
    <row r="121" spans="1:16" x14ac:dyDescent="0.25">
      <c r="A121" t="s">
        <v>279</v>
      </c>
      <c r="B121" s="2">
        <v>45740</v>
      </c>
      <c r="C121" t="s">
        <v>280</v>
      </c>
      <c r="D121" t="s">
        <v>18</v>
      </c>
      <c r="E121">
        <v>34</v>
      </c>
      <c r="F121" t="s">
        <v>98</v>
      </c>
      <c r="G121" t="s">
        <v>36</v>
      </c>
      <c r="H121" t="s">
        <v>133</v>
      </c>
      <c r="I121">
        <v>5</v>
      </c>
      <c r="J121">
        <v>799</v>
      </c>
      <c r="K121">
        <v>3995</v>
      </c>
      <c r="L121">
        <v>15</v>
      </c>
      <c r="M121" t="s">
        <v>46</v>
      </c>
      <c r="N121" t="s">
        <v>23</v>
      </c>
      <c r="O121" t="s">
        <v>48</v>
      </c>
      <c r="P121" t="s">
        <v>78</v>
      </c>
    </row>
    <row r="122" spans="1:16" x14ac:dyDescent="0.25">
      <c r="A122" t="s">
        <v>281</v>
      </c>
      <c r="B122" s="2">
        <v>45797</v>
      </c>
      <c r="C122" t="s">
        <v>186</v>
      </c>
      <c r="D122" t="s">
        <v>18</v>
      </c>
      <c r="E122">
        <v>45</v>
      </c>
      <c r="F122" t="s">
        <v>19</v>
      </c>
      <c r="G122" t="s">
        <v>20</v>
      </c>
      <c r="H122" t="s">
        <v>77</v>
      </c>
      <c r="I122">
        <v>1</v>
      </c>
      <c r="J122">
        <v>299</v>
      </c>
      <c r="K122">
        <v>299</v>
      </c>
      <c r="L122">
        <v>5</v>
      </c>
      <c r="M122" t="s">
        <v>22</v>
      </c>
      <c r="N122" t="s">
        <v>31</v>
      </c>
      <c r="O122" t="s">
        <v>24</v>
      </c>
      <c r="P122" t="s">
        <v>134</v>
      </c>
    </row>
    <row r="123" spans="1:16" x14ac:dyDescent="0.25">
      <c r="A123" t="s">
        <v>282</v>
      </c>
      <c r="B123" s="2">
        <v>45778</v>
      </c>
      <c r="C123" t="s">
        <v>283</v>
      </c>
      <c r="D123" t="s">
        <v>18</v>
      </c>
      <c r="E123">
        <v>41</v>
      </c>
      <c r="F123" t="s">
        <v>76</v>
      </c>
      <c r="G123" t="s">
        <v>20</v>
      </c>
      <c r="H123" t="s">
        <v>120</v>
      </c>
      <c r="I123">
        <v>5</v>
      </c>
      <c r="J123">
        <v>599</v>
      </c>
      <c r="K123">
        <v>2995</v>
      </c>
      <c r="L123">
        <v>0</v>
      </c>
      <c r="M123" t="s">
        <v>46</v>
      </c>
      <c r="N123" t="s">
        <v>23</v>
      </c>
      <c r="O123" t="s">
        <v>48</v>
      </c>
      <c r="P123" t="s">
        <v>57</v>
      </c>
    </row>
    <row r="124" spans="1:16" x14ac:dyDescent="0.25">
      <c r="A124" t="s">
        <v>284</v>
      </c>
      <c r="B124" s="2">
        <v>45899</v>
      </c>
      <c r="C124" t="s">
        <v>145</v>
      </c>
      <c r="D124" t="s">
        <v>18</v>
      </c>
      <c r="E124">
        <v>48</v>
      </c>
      <c r="F124" t="s">
        <v>51</v>
      </c>
      <c r="G124" t="s">
        <v>29</v>
      </c>
      <c r="H124" t="s">
        <v>30</v>
      </c>
      <c r="I124">
        <v>1</v>
      </c>
      <c r="J124">
        <v>499</v>
      </c>
      <c r="K124">
        <v>499</v>
      </c>
      <c r="L124">
        <v>20</v>
      </c>
      <c r="M124" t="s">
        <v>38</v>
      </c>
      <c r="N124" t="s">
        <v>23</v>
      </c>
      <c r="O124" t="s">
        <v>24</v>
      </c>
      <c r="P124" t="s">
        <v>70</v>
      </c>
    </row>
    <row r="125" spans="1:16" x14ac:dyDescent="0.25">
      <c r="A125" t="s">
        <v>285</v>
      </c>
      <c r="B125" s="2">
        <v>45969</v>
      </c>
      <c r="C125" t="s">
        <v>286</v>
      </c>
      <c r="D125" t="s">
        <v>35</v>
      </c>
      <c r="E125">
        <v>25</v>
      </c>
      <c r="F125" t="s">
        <v>43</v>
      </c>
      <c r="G125" t="s">
        <v>29</v>
      </c>
      <c r="H125" t="s">
        <v>30</v>
      </c>
      <c r="I125">
        <v>5</v>
      </c>
      <c r="J125">
        <v>2499</v>
      </c>
      <c r="K125">
        <v>12495</v>
      </c>
      <c r="L125">
        <v>5</v>
      </c>
      <c r="M125" t="s">
        <v>46</v>
      </c>
      <c r="N125" t="s">
        <v>23</v>
      </c>
      <c r="O125" t="s">
        <v>24</v>
      </c>
      <c r="P125" t="s">
        <v>89</v>
      </c>
    </row>
    <row r="126" spans="1:16" x14ac:dyDescent="0.25">
      <c r="A126" t="s">
        <v>287</v>
      </c>
      <c r="B126" s="2">
        <v>45714</v>
      </c>
      <c r="C126" t="s">
        <v>288</v>
      </c>
      <c r="D126" t="s">
        <v>18</v>
      </c>
      <c r="E126">
        <v>58</v>
      </c>
      <c r="F126" t="s">
        <v>76</v>
      </c>
      <c r="G126" t="s">
        <v>36</v>
      </c>
      <c r="H126" t="s">
        <v>133</v>
      </c>
      <c r="I126">
        <v>4</v>
      </c>
      <c r="J126">
        <v>249</v>
      </c>
      <c r="K126">
        <v>996</v>
      </c>
      <c r="L126">
        <v>5</v>
      </c>
      <c r="M126" t="s">
        <v>46</v>
      </c>
      <c r="N126" t="s">
        <v>61</v>
      </c>
      <c r="O126" t="s">
        <v>24</v>
      </c>
      <c r="P126" t="s">
        <v>40</v>
      </c>
    </row>
    <row r="127" spans="1:16" x14ac:dyDescent="0.25">
      <c r="A127" t="s">
        <v>289</v>
      </c>
      <c r="B127" s="2">
        <v>45753</v>
      </c>
      <c r="C127" t="s">
        <v>290</v>
      </c>
      <c r="D127" t="s">
        <v>18</v>
      </c>
      <c r="E127">
        <v>51</v>
      </c>
      <c r="F127" t="s">
        <v>60</v>
      </c>
      <c r="G127" t="s">
        <v>44</v>
      </c>
      <c r="H127" t="s">
        <v>235</v>
      </c>
      <c r="I127">
        <v>5</v>
      </c>
      <c r="J127">
        <v>799</v>
      </c>
      <c r="K127">
        <v>3995</v>
      </c>
      <c r="L127">
        <v>0</v>
      </c>
      <c r="M127" t="s">
        <v>85</v>
      </c>
      <c r="N127" t="s">
        <v>23</v>
      </c>
      <c r="O127" t="s">
        <v>39</v>
      </c>
      <c r="P127" t="s">
        <v>82</v>
      </c>
    </row>
    <row r="128" spans="1:16" x14ac:dyDescent="0.25">
      <c r="A128" t="s">
        <v>291</v>
      </c>
      <c r="B128" s="2">
        <v>45666</v>
      </c>
      <c r="C128" t="s">
        <v>173</v>
      </c>
      <c r="D128" t="s">
        <v>18</v>
      </c>
      <c r="E128">
        <v>40</v>
      </c>
      <c r="F128" t="s">
        <v>76</v>
      </c>
      <c r="G128" t="s">
        <v>20</v>
      </c>
      <c r="H128" t="s">
        <v>120</v>
      </c>
      <c r="I128">
        <v>3</v>
      </c>
      <c r="J128">
        <v>499</v>
      </c>
      <c r="K128">
        <v>1497</v>
      </c>
      <c r="L128">
        <v>0</v>
      </c>
      <c r="M128" t="s">
        <v>85</v>
      </c>
      <c r="N128" t="s">
        <v>31</v>
      </c>
      <c r="O128" t="s">
        <v>24</v>
      </c>
      <c r="P128" t="s">
        <v>117</v>
      </c>
    </row>
    <row r="129" spans="1:16" x14ac:dyDescent="0.25">
      <c r="A129" t="s">
        <v>292</v>
      </c>
      <c r="B129" s="2">
        <v>45747</v>
      </c>
      <c r="C129" t="s">
        <v>209</v>
      </c>
      <c r="D129" t="s">
        <v>35</v>
      </c>
      <c r="E129">
        <v>48</v>
      </c>
      <c r="F129" t="s">
        <v>124</v>
      </c>
      <c r="G129" t="s">
        <v>44</v>
      </c>
      <c r="H129" t="s">
        <v>151</v>
      </c>
      <c r="I129">
        <v>3</v>
      </c>
      <c r="J129">
        <v>1999</v>
      </c>
      <c r="K129">
        <v>5997</v>
      </c>
      <c r="L129">
        <v>5</v>
      </c>
      <c r="M129" t="s">
        <v>38</v>
      </c>
      <c r="N129" t="s">
        <v>61</v>
      </c>
      <c r="O129" t="s">
        <v>24</v>
      </c>
      <c r="P129" t="s">
        <v>86</v>
      </c>
    </row>
    <row r="130" spans="1:16" x14ac:dyDescent="0.25">
      <c r="A130" t="s">
        <v>293</v>
      </c>
      <c r="B130" s="2">
        <v>45819</v>
      </c>
      <c r="C130" t="s">
        <v>294</v>
      </c>
      <c r="D130" t="s">
        <v>35</v>
      </c>
      <c r="E130">
        <v>52</v>
      </c>
      <c r="F130" t="s">
        <v>51</v>
      </c>
      <c r="G130" t="s">
        <v>29</v>
      </c>
      <c r="H130" t="s">
        <v>108</v>
      </c>
      <c r="I130">
        <v>2</v>
      </c>
      <c r="J130">
        <v>199</v>
      </c>
      <c r="K130">
        <v>398</v>
      </c>
      <c r="L130">
        <v>10</v>
      </c>
      <c r="M130" t="s">
        <v>38</v>
      </c>
      <c r="N130" t="s">
        <v>47</v>
      </c>
      <c r="O130" t="s">
        <v>39</v>
      </c>
      <c r="P130" t="s">
        <v>125</v>
      </c>
    </row>
    <row r="131" spans="1:16" x14ac:dyDescent="0.25">
      <c r="A131" t="s">
        <v>295</v>
      </c>
      <c r="B131" s="2">
        <v>45846</v>
      </c>
      <c r="C131" t="s">
        <v>296</v>
      </c>
      <c r="D131" t="s">
        <v>35</v>
      </c>
      <c r="E131">
        <v>46</v>
      </c>
      <c r="F131" t="s">
        <v>28</v>
      </c>
      <c r="G131" t="s">
        <v>20</v>
      </c>
      <c r="H131" t="s">
        <v>77</v>
      </c>
      <c r="I131">
        <v>3</v>
      </c>
      <c r="J131">
        <v>249</v>
      </c>
      <c r="K131">
        <v>747</v>
      </c>
      <c r="L131">
        <v>10</v>
      </c>
      <c r="M131" t="s">
        <v>53</v>
      </c>
      <c r="N131" t="s">
        <v>61</v>
      </c>
      <c r="O131" t="s">
        <v>48</v>
      </c>
      <c r="P131" t="s">
        <v>82</v>
      </c>
    </row>
    <row r="132" spans="1:16" x14ac:dyDescent="0.25">
      <c r="A132" t="s">
        <v>297</v>
      </c>
      <c r="B132" s="2">
        <v>45875</v>
      </c>
      <c r="C132" t="s">
        <v>272</v>
      </c>
      <c r="D132" t="s">
        <v>35</v>
      </c>
      <c r="E132">
        <v>56</v>
      </c>
      <c r="F132" t="s">
        <v>124</v>
      </c>
      <c r="G132" t="s">
        <v>44</v>
      </c>
      <c r="H132" t="s">
        <v>151</v>
      </c>
      <c r="I132">
        <v>3</v>
      </c>
      <c r="J132">
        <v>249</v>
      </c>
      <c r="K132">
        <v>747</v>
      </c>
      <c r="L132">
        <v>20</v>
      </c>
      <c r="M132" t="s">
        <v>46</v>
      </c>
      <c r="N132" t="s">
        <v>31</v>
      </c>
      <c r="O132" t="s">
        <v>24</v>
      </c>
      <c r="P132" t="s">
        <v>25</v>
      </c>
    </row>
    <row r="133" spans="1:16" x14ac:dyDescent="0.25">
      <c r="A133" t="s">
        <v>298</v>
      </c>
      <c r="B133" s="2">
        <v>45966</v>
      </c>
      <c r="C133" t="s">
        <v>299</v>
      </c>
      <c r="D133" t="s">
        <v>35</v>
      </c>
      <c r="E133">
        <v>28</v>
      </c>
      <c r="F133" t="s">
        <v>51</v>
      </c>
      <c r="G133" t="s">
        <v>44</v>
      </c>
      <c r="H133" t="s">
        <v>177</v>
      </c>
      <c r="I133">
        <v>3</v>
      </c>
      <c r="J133">
        <v>999</v>
      </c>
      <c r="K133">
        <v>2997</v>
      </c>
      <c r="L133">
        <v>10</v>
      </c>
      <c r="M133" t="s">
        <v>22</v>
      </c>
      <c r="N133" t="s">
        <v>23</v>
      </c>
      <c r="O133" t="s">
        <v>48</v>
      </c>
      <c r="P133" t="s">
        <v>125</v>
      </c>
    </row>
    <row r="134" spans="1:16" x14ac:dyDescent="0.25">
      <c r="A134" t="s">
        <v>300</v>
      </c>
      <c r="B134" s="2">
        <v>45687</v>
      </c>
      <c r="C134" t="s">
        <v>226</v>
      </c>
      <c r="D134" t="s">
        <v>35</v>
      </c>
      <c r="E134">
        <v>41</v>
      </c>
      <c r="F134" t="s">
        <v>124</v>
      </c>
      <c r="G134" t="s">
        <v>68</v>
      </c>
      <c r="H134" t="s">
        <v>69</v>
      </c>
      <c r="I134">
        <v>3</v>
      </c>
      <c r="J134">
        <v>1999</v>
      </c>
      <c r="K134">
        <v>5997</v>
      </c>
      <c r="L134">
        <v>0</v>
      </c>
      <c r="M134" t="s">
        <v>53</v>
      </c>
      <c r="N134" t="s">
        <v>61</v>
      </c>
      <c r="O134" t="s">
        <v>24</v>
      </c>
      <c r="P134" t="s">
        <v>65</v>
      </c>
    </row>
    <row r="135" spans="1:16" x14ac:dyDescent="0.25">
      <c r="A135" t="s">
        <v>301</v>
      </c>
      <c r="B135" s="2">
        <v>45854</v>
      </c>
      <c r="C135" t="s">
        <v>302</v>
      </c>
      <c r="D135" t="s">
        <v>18</v>
      </c>
      <c r="E135">
        <v>56</v>
      </c>
      <c r="F135" t="s">
        <v>124</v>
      </c>
      <c r="G135" t="s">
        <v>20</v>
      </c>
      <c r="H135" t="s">
        <v>52</v>
      </c>
      <c r="I135">
        <v>3</v>
      </c>
      <c r="J135">
        <v>599</v>
      </c>
      <c r="K135">
        <v>1797</v>
      </c>
      <c r="L135">
        <v>15</v>
      </c>
      <c r="M135" t="s">
        <v>46</v>
      </c>
      <c r="N135" t="s">
        <v>31</v>
      </c>
      <c r="O135" t="s">
        <v>39</v>
      </c>
      <c r="P135" t="s">
        <v>25</v>
      </c>
    </row>
    <row r="136" spans="1:16" x14ac:dyDescent="0.25">
      <c r="A136" t="s">
        <v>303</v>
      </c>
      <c r="B136" s="2">
        <v>45861</v>
      </c>
      <c r="C136" t="s">
        <v>304</v>
      </c>
      <c r="D136" t="s">
        <v>35</v>
      </c>
      <c r="E136">
        <v>33</v>
      </c>
      <c r="F136" t="s">
        <v>19</v>
      </c>
      <c r="G136" t="s">
        <v>68</v>
      </c>
      <c r="H136" t="s">
        <v>137</v>
      </c>
      <c r="I136">
        <v>5</v>
      </c>
      <c r="J136">
        <v>599</v>
      </c>
      <c r="K136">
        <v>2995</v>
      </c>
      <c r="L136">
        <v>0</v>
      </c>
      <c r="M136" t="s">
        <v>53</v>
      </c>
      <c r="N136" t="s">
        <v>61</v>
      </c>
      <c r="O136" t="s">
        <v>48</v>
      </c>
      <c r="P136" t="s">
        <v>157</v>
      </c>
    </row>
    <row r="137" spans="1:16" x14ac:dyDescent="0.25">
      <c r="A137" t="s">
        <v>305</v>
      </c>
      <c r="B137" s="2">
        <v>46018</v>
      </c>
      <c r="C137" t="s">
        <v>186</v>
      </c>
      <c r="D137" t="s">
        <v>18</v>
      </c>
      <c r="E137">
        <v>57</v>
      </c>
      <c r="F137" t="s">
        <v>43</v>
      </c>
      <c r="G137" t="s">
        <v>68</v>
      </c>
      <c r="H137" t="s">
        <v>73</v>
      </c>
      <c r="I137">
        <v>3</v>
      </c>
      <c r="J137">
        <v>499</v>
      </c>
      <c r="K137">
        <v>1497</v>
      </c>
      <c r="L137">
        <v>15</v>
      </c>
      <c r="M137" t="s">
        <v>53</v>
      </c>
      <c r="N137" t="s">
        <v>23</v>
      </c>
      <c r="O137" t="s">
        <v>24</v>
      </c>
      <c r="P137" t="s">
        <v>25</v>
      </c>
    </row>
    <row r="138" spans="1:16" x14ac:dyDescent="0.25">
      <c r="A138" t="s">
        <v>306</v>
      </c>
      <c r="B138" s="2">
        <v>46007</v>
      </c>
      <c r="C138" t="s">
        <v>304</v>
      </c>
      <c r="D138" t="s">
        <v>35</v>
      </c>
      <c r="E138">
        <v>22</v>
      </c>
      <c r="F138" t="s">
        <v>43</v>
      </c>
      <c r="G138" t="s">
        <v>36</v>
      </c>
      <c r="H138" t="s">
        <v>102</v>
      </c>
      <c r="I138">
        <v>4</v>
      </c>
      <c r="J138">
        <v>249</v>
      </c>
      <c r="K138">
        <v>996</v>
      </c>
      <c r="L138">
        <v>10</v>
      </c>
      <c r="M138" t="s">
        <v>53</v>
      </c>
      <c r="N138" t="s">
        <v>47</v>
      </c>
      <c r="O138" t="s">
        <v>39</v>
      </c>
      <c r="P138" t="s">
        <v>78</v>
      </c>
    </row>
    <row r="139" spans="1:16" x14ac:dyDescent="0.25">
      <c r="A139" t="s">
        <v>307</v>
      </c>
      <c r="B139" s="2">
        <v>45779</v>
      </c>
      <c r="C139" t="s">
        <v>288</v>
      </c>
      <c r="D139" t="s">
        <v>18</v>
      </c>
      <c r="E139">
        <v>41</v>
      </c>
      <c r="F139" t="s">
        <v>60</v>
      </c>
      <c r="G139" t="s">
        <v>29</v>
      </c>
      <c r="H139" t="s">
        <v>108</v>
      </c>
      <c r="I139">
        <v>2</v>
      </c>
      <c r="J139">
        <v>299</v>
      </c>
      <c r="K139">
        <v>598</v>
      </c>
      <c r="L139">
        <v>15</v>
      </c>
      <c r="M139" t="s">
        <v>85</v>
      </c>
      <c r="N139" t="s">
        <v>47</v>
      </c>
      <c r="O139" t="s">
        <v>48</v>
      </c>
      <c r="P139" t="s">
        <v>25</v>
      </c>
    </row>
    <row r="140" spans="1:16" x14ac:dyDescent="0.25">
      <c r="A140" t="s">
        <v>308</v>
      </c>
      <c r="B140" s="2">
        <v>45903</v>
      </c>
      <c r="C140" t="s">
        <v>286</v>
      </c>
      <c r="D140" t="s">
        <v>35</v>
      </c>
      <c r="E140">
        <v>44</v>
      </c>
      <c r="F140" t="s">
        <v>19</v>
      </c>
      <c r="G140" t="s">
        <v>20</v>
      </c>
      <c r="H140" t="s">
        <v>77</v>
      </c>
      <c r="I140">
        <v>4</v>
      </c>
      <c r="J140">
        <v>2499</v>
      </c>
      <c r="K140">
        <v>9996</v>
      </c>
      <c r="L140">
        <v>5</v>
      </c>
      <c r="M140" t="s">
        <v>46</v>
      </c>
      <c r="N140" t="s">
        <v>23</v>
      </c>
      <c r="O140" t="s">
        <v>39</v>
      </c>
      <c r="P140" t="s">
        <v>62</v>
      </c>
    </row>
    <row r="141" spans="1:16" x14ac:dyDescent="0.25">
      <c r="A141" t="s">
        <v>309</v>
      </c>
      <c r="B141" s="2">
        <v>45985</v>
      </c>
      <c r="C141" t="s">
        <v>310</v>
      </c>
      <c r="D141" t="s">
        <v>18</v>
      </c>
      <c r="E141">
        <v>26</v>
      </c>
      <c r="F141" t="s">
        <v>28</v>
      </c>
      <c r="G141" t="s">
        <v>68</v>
      </c>
      <c r="H141" t="s">
        <v>171</v>
      </c>
      <c r="I141">
        <v>2</v>
      </c>
      <c r="J141">
        <v>1299</v>
      </c>
      <c r="K141">
        <v>2598</v>
      </c>
      <c r="L141">
        <v>20</v>
      </c>
      <c r="M141" t="s">
        <v>38</v>
      </c>
      <c r="N141" t="s">
        <v>23</v>
      </c>
      <c r="O141" t="s">
        <v>48</v>
      </c>
      <c r="P141" t="s">
        <v>65</v>
      </c>
    </row>
    <row r="142" spans="1:16" x14ac:dyDescent="0.25">
      <c r="A142" t="s">
        <v>311</v>
      </c>
      <c r="B142" s="2">
        <v>46021</v>
      </c>
      <c r="C142" t="s">
        <v>276</v>
      </c>
      <c r="D142" t="s">
        <v>35</v>
      </c>
      <c r="E142">
        <v>51</v>
      </c>
      <c r="F142" t="s">
        <v>43</v>
      </c>
      <c r="G142" t="s">
        <v>44</v>
      </c>
      <c r="H142" t="s">
        <v>235</v>
      </c>
      <c r="I142">
        <v>2</v>
      </c>
      <c r="J142">
        <v>599</v>
      </c>
      <c r="K142">
        <v>1198</v>
      </c>
      <c r="L142">
        <v>0</v>
      </c>
      <c r="M142" t="s">
        <v>46</v>
      </c>
      <c r="N142" t="s">
        <v>47</v>
      </c>
      <c r="O142" t="s">
        <v>48</v>
      </c>
      <c r="P142" t="s">
        <v>103</v>
      </c>
    </row>
    <row r="143" spans="1:16" x14ac:dyDescent="0.25">
      <c r="A143" t="s">
        <v>312</v>
      </c>
      <c r="B143" s="2">
        <v>45931</v>
      </c>
      <c r="C143" t="s">
        <v>313</v>
      </c>
      <c r="D143" t="s">
        <v>18</v>
      </c>
      <c r="E143">
        <v>55</v>
      </c>
      <c r="F143" t="s">
        <v>124</v>
      </c>
      <c r="G143" t="s">
        <v>44</v>
      </c>
      <c r="H143" t="s">
        <v>235</v>
      </c>
      <c r="I143">
        <v>3</v>
      </c>
      <c r="J143">
        <v>1499</v>
      </c>
      <c r="K143">
        <v>4497</v>
      </c>
      <c r="L143">
        <v>5</v>
      </c>
      <c r="M143" t="s">
        <v>85</v>
      </c>
      <c r="N143" t="s">
        <v>31</v>
      </c>
      <c r="O143" t="s">
        <v>48</v>
      </c>
      <c r="P143" t="s">
        <v>117</v>
      </c>
    </row>
    <row r="144" spans="1:16" x14ac:dyDescent="0.25">
      <c r="A144" t="s">
        <v>314</v>
      </c>
      <c r="B144" s="2">
        <v>45953</v>
      </c>
      <c r="C144" t="s">
        <v>315</v>
      </c>
      <c r="D144" t="s">
        <v>18</v>
      </c>
      <c r="E144">
        <v>54</v>
      </c>
      <c r="F144" t="s">
        <v>28</v>
      </c>
      <c r="G144" t="s">
        <v>20</v>
      </c>
      <c r="H144" t="s">
        <v>21</v>
      </c>
      <c r="I144">
        <v>1</v>
      </c>
      <c r="J144">
        <v>1999</v>
      </c>
      <c r="K144">
        <v>1999</v>
      </c>
      <c r="L144">
        <v>20</v>
      </c>
      <c r="M144" t="s">
        <v>38</v>
      </c>
      <c r="N144" t="s">
        <v>61</v>
      </c>
      <c r="O144" t="s">
        <v>48</v>
      </c>
      <c r="P144" t="s">
        <v>103</v>
      </c>
    </row>
    <row r="145" spans="1:16" x14ac:dyDescent="0.25">
      <c r="A145" t="s">
        <v>316</v>
      </c>
      <c r="B145" s="2">
        <v>46008</v>
      </c>
      <c r="C145" t="s">
        <v>129</v>
      </c>
      <c r="D145" t="s">
        <v>35</v>
      </c>
      <c r="E145">
        <v>47</v>
      </c>
      <c r="F145" t="s">
        <v>19</v>
      </c>
      <c r="G145" t="s">
        <v>44</v>
      </c>
      <c r="H145" t="s">
        <v>177</v>
      </c>
      <c r="I145">
        <v>4</v>
      </c>
      <c r="J145">
        <v>399</v>
      </c>
      <c r="K145">
        <v>1596</v>
      </c>
      <c r="L145">
        <v>0</v>
      </c>
      <c r="M145" t="s">
        <v>53</v>
      </c>
      <c r="N145" t="s">
        <v>61</v>
      </c>
      <c r="O145" t="s">
        <v>39</v>
      </c>
      <c r="P145" t="s">
        <v>82</v>
      </c>
    </row>
    <row r="146" spans="1:16" x14ac:dyDescent="0.25">
      <c r="A146" t="s">
        <v>317</v>
      </c>
      <c r="B146" s="2">
        <v>45731</v>
      </c>
      <c r="C146" t="s">
        <v>304</v>
      </c>
      <c r="D146" t="s">
        <v>35</v>
      </c>
      <c r="E146">
        <v>40</v>
      </c>
      <c r="F146" t="s">
        <v>28</v>
      </c>
      <c r="G146" t="s">
        <v>36</v>
      </c>
      <c r="H146" t="s">
        <v>102</v>
      </c>
      <c r="I146">
        <v>3</v>
      </c>
      <c r="J146">
        <v>1499</v>
      </c>
      <c r="K146">
        <v>4497</v>
      </c>
      <c r="L146">
        <v>5</v>
      </c>
      <c r="M146" t="s">
        <v>46</v>
      </c>
      <c r="N146" t="s">
        <v>23</v>
      </c>
      <c r="O146" t="s">
        <v>39</v>
      </c>
      <c r="P146" t="s">
        <v>89</v>
      </c>
    </row>
    <row r="147" spans="1:16" x14ac:dyDescent="0.25">
      <c r="A147" t="s">
        <v>318</v>
      </c>
      <c r="B147" s="2">
        <v>45784</v>
      </c>
      <c r="C147" t="s">
        <v>319</v>
      </c>
      <c r="D147" t="s">
        <v>18</v>
      </c>
      <c r="E147">
        <v>16</v>
      </c>
      <c r="F147" t="s">
        <v>43</v>
      </c>
      <c r="G147" t="s">
        <v>36</v>
      </c>
      <c r="H147" t="s">
        <v>156</v>
      </c>
      <c r="I147">
        <v>3</v>
      </c>
      <c r="J147">
        <v>999</v>
      </c>
      <c r="K147">
        <v>2997</v>
      </c>
      <c r="L147">
        <v>15</v>
      </c>
      <c r="M147" t="s">
        <v>85</v>
      </c>
      <c r="N147" t="s">
        <v>61</v>
      </c>
      <c r="O147" t="s">
        <v>24</v>
      </c>
      <c r="P147" t="s">
        <v>32</v>
      </c>
    </row>
    <row r="148" spans="1:16" x14ac:dyDescent="0.25">
      <c r="A148" t="s">
        <v>320</v>
      </c>
      <c r="B148" s="2">
        <v>45739</v>
      </c>
      <c r="C148" t="s">
        <v>288</v>
      </c>
      <c r="D148" t="s">
        <v>35</v>
      </c>
      <c r="E148">
        <v>49</v>
      </c>
      <c r="F148" t="s">
        <v>43</v>
      </c>
      <c r="G148" t="s">
        <v>44</v>
      </c>
      <c r="H148" t="s">
        <v>151</v>
      </c>
      <c r="I148">
        <v>3</v>
      </c>
      <c r="J148">
        <v>399</v>
      </c>
      <c r="K148">
        <v>1197</v>
      </c>
      <c r="L148">
        <v>15</v>
      </c>
      <c r="M148" t="s">
        <v>38</v>
      </c>
      <c r="N148" t="s">
        <v>23</v>
      </c>
      <c r="O148" t="s">
        <v>39</v>
      </c>
      <c r="P148" t="s">
        <v>78</v>
      </c>
    </row>
    <row r="149" spans="1:16" x14ac:dyDescent="0.25">
      <c r="A149" t="s">
        <v>321</v>
      </c>
      <c r="B149" s="2">
        <v>45838</v>
      </c>
      <c r="C149" t="s">
        <v>250</v>
      </c>
      <c r="D149" t="s">
        <v>18</v>
      </c>
      <c r="E149">
        <v>36</v>
      </c>
      <c r="F149" t="s">
        <v>51</v>
      </c>
      <c r="G149" t="s">
        <v>36</v>
      </c>
      <c r="H149" t="s">
        <v>102</v>
      </c>
      <c r="I149">
        <v>2</v>
      </c>
      <c r="J149">
        <v>1499</v>
      </c>
      <c r="K149">
        <v>2998</v>
      </c>
      <c r="L149">
        <v>20</v>
      </c>
      <c r="M149" t="s">
        <v>22</v>
      </c>
      <c r="N149" t="s">
        <v>31</v>
      </c>
      <c r="O149" t="s">
        <v>48</v>
      </c>
      <c r="P149" t="s">
        <v>121</v>
      </c>
    </row>
    <row r="150" spans="1:16" x14ac:dyDescent="0.25">
      <c r="A150" t="s">
        <v>322</v>
      </c>
      <c r="B150" s="2">
        <v>45845</v>
      </c>
      <c r="C150" t="s">
        <v>34</v>
      </c>
      <c r="D150" t="s">
        <v>35</v>
      </c>
      <c r="E150">
        <v>41</v>
      </c>
      <c r="F150" t="s">
        <v>98</v>
      </c>
      <c r="G150" t="s">
        <v>20</v>
      </c>
      <c r="H150" t="s">
        <v>120</v>
      </c>
      <c r="I150">
        <v>2</v>
      </c>
      <c r="J150">
        <v>499</v>
      </c>
      <c r="K150">
        <v>998</v>
      </c>
      <c r="L150">
        <v>15</v>
      </c>
      <c r="M150" t="s">
        <v>38</v>
      </c>
      <c r="N150" t="s">
        <v>47</v>
      </c>
      <c r="O150" t="s">
        <v>39</v>
      </c>
      <c r="P150" t="s">
        <v>103</v>
      </c>
    </row>
    <row r="151" spans="1:16" x14ac:dyDescent="0.25">
      <c r="A151" t="s">
        <v>323</v>
      </c>
      <c r="B151" s="2">
        <v>45888</v>
      </c>
      <c r="C151" t="s">
        <v>34</v>
      </c>
      <c r="D151" t="s">
        <v>35</v>
      </c>
      <c r="E151">
        <v>57</v>
      </c>
      <c r="F151" t="s">
        <v>19</v>
      </c>
      <c r="G151" t="s">
        <v>44</v>
      </c>
      <c r="H151" t="s">
        <v>45</v>
      </c>
      <c r="I151">
        <v>4</v>
      </c>
      <c r="J151">
        <v>1299</v>
      </c>
      <c r="K151">
        <v>5196</v>
      </c>
      <c r="L151">
        <v>5</v>
      </c>
      <c r="M151" t="s">
        <v>38</v>
      </c>
      <c r="N151" t="s">
        <v>61</v>
      </c>
      <c r="O151" t="s">
        <v>39</v>
      </c>
      <c r="P151" t="s">
        <v>57</v>
      </c>
    </row>
    <row r="152" spans="1:16" x14ac:dyDescent="0.25">
      <c r="A152" t="s">
        <v>324</v>
      </c>
      <c r="B152" s="2">
        <v>45966</v>
      </c>
      <c r="C152" t="s">
        <v>205</v>
      </c>
      <c r="D152" t="s">
        <v>35</v>
      </c>
      <c r="E152">
        <v>50</v>
      </c>
      <c r="F152" t="s">
        <v>98</v>
      </c>
      <c r="G152" t="s">
        <v>68</v>
      </c>
      <c r="H152" t="s">
        <v>171</v>
      </c>
      <c r="I152">
        <v>2</v>
      </c>
      <c r="J152">
        <v>399</v>
      </c>
      <c r="K152">
        <v>798</v>
      </c>
      <c r="L152">
        <v>0</v>
      </c>
      <c r="M152" t="s">
        <v>38</v>
      </c>
      <c r="N152" t="s">
        <v>47</v>
      </c>
      <c r="O152" t="s">
        <v>48</v>
      </c>
      <c r="P152" t="s">
        <v>57</v>
      </c>
    </row>
    <row r="153" spans="1:16" x14ac:dyDescent="0.25">
      <c r="A153" t="s">
        <v>325</v>
      </c>
      <c r="B153" s="2">
        <v>45968</v>
      </c>
      <c r="C153" t="s">
        <v>205</v>
      </c>
      <c r="D153" t="s">
        <v>18</v>
      </c>
      <c r="E153">
        <v>38</v>
      </c>
      <c r="F153" t="s">
        <v>60</v>
      </c>
      <c r="G153" t="s">
        <v>36</v>
      </c>
      <c r="H153" t="s">
        <v>133</v>
      </c>
      <c r="I153">
        <v>4</v>
      </c>
      <c r="J153">
        <v>299</v>
      </c>
      <c r="K153">
        <v>1196</v>
      </c>
      <c r="L153">
        <v>5</v>
      </c>
      <c r="M153" t="s">
        <v>22</v>
      </c>
      <c r="N153" t="s">
        <v>31</v>
      </c>
      <c r="O153" t="s">
        <v>48</v>
      </c>
      <c r="P153" t="s">
        <v>57</v>
      </c>
    </row>
    <row r="154" spans="1:16" x14ac:dyDescent="0.25">
      <c r="A154" t="s">
        <v>326</v>
      </c>
      <c r="B154" s="2">
        <v>46020</v>
      </c>
      <c r="C154" t="s">
        <v>302</v>
      </c>
      <c r="D154" t="s">
        <v>35</v>
      </c>
      <c r="E154">
        <v>48</v>
      </c>
      <c r="F154" t="s">
        <v>98</v>
      </c>
      <c r="G154" t="s">
        <v>68</v>
      </c>
      <c r="H154" t="s">
        <v>94</v>
      </c>
      <c r="I154">
        <v>5</v>
      </c>
      <c r="J154">
        <v>999</v>
      </c>
      <c r="K154">
        <v>4995</v>
      </c>
      <c r="L154">
        <v>10</v>
      </c>
      <c r="M154" t="s">
        <v>46</v>
      </c>
      <c r="N154" t="s">
        <v>23</v>
      </c>
      <c r="O154" t="s">
        <v>39</v>
      </c>
      <c r="P154" t="s">
        <v>193</v>
      </c>
    </row>
    <row r="155" spans="1:16" x14ac:dyDescent="0.25">
      <c r="A155" t="s">
        <v>327</v>
      </c>
      <c r="B155" s="2">
        <v>45793</v>
      </c>
      <c r="C155" t="s">
        <v>164</v>
      </c>
      <c r="D155" t="s">
        <v>18</v>
      </c>
      <c r="E155">
        <v>21</v>
      </c>
      <c r="F155" t="s">
        <v>51</v>
      </c>
      <c r="G155" t="s">
        <v>44</v>
      </c>
      <c r="H155" t="s">
        <v>45</v>
      </c>
      <c r="I155">
        <v>5</v>
      </c>
      <c r="J155">
        <v>999</v>
      </c>
      <c r="K155">
        <v>4995</v>
      </c>
      <c r="L155">
        <v>5</v>
      </c>
      <c r="M155" t="s">
        <v>85</v>
      </c>
      <c r="N155" t="s">
        <v>61</v>
      </c>
      <c r="O155" t="s">
        <v>24</v>
      </c>
      <c r="P155" t="s">
        <v>89</v>
      </c>
    </row>
    <row r="156" spans="1:16" x14ac:dyDescent="0.25">
      <c r="A156" t="s">
        <v>328</v>
      </c>
      <c r="B156" s="2">
        <v>45667</v>
      </c>
      <c r="C156" t="s">
        <v>329</v>
      </c>
      <c r="D156" t="s">
        <v>35</v>
      </c>
      <c r="E156">
        <v>44</v>
      </c>
      <c r="F156" t="s">
        <v>124</v>
      </c>
      <c r="G156" t="s">
        <v>20</v>
      </c>
      <c r="H156" t="s">
        <v>81</v>
      </c>
      <c r="I156">
        <v>1</v>
      </c>
      <c r="J156">
        <v>399</v>
      </c>
      <c r="K156">
        <v>399</v>
      </c>
      <c r="L156">
        <v>15</v>
      </c>
      <c r="M156" t="s">
        <v>53</v>
      </c>
      <c r="N156" t="s">
        <v>61</v>
      </c>
      <c r="O156" t="s">
        <v>48</v>
      </c>
      <c r="P156" t="s">
        <v>40</v>
      </c>
    </row>
    <row r="157" spans="1:16" x14ac:dyDescent="0.25">
      <c r="A157" t="s">
        <v>330</v>
      </c>
      <c r="B157" s="2">
        <v>45764</v>
      </c>
      <c r="C157" t="s">
        <v>27</v>
      </c>
      <c r="D157" t="s">
        <v>35</v>
      </c>
      <c r="E157">
        <v>60</v>
      </c>
      <c r="F157" t="s">
        <v>51</v>
      </c>
      <c r="G157" t="s">
        <v>36</v>
      </c>
      <c r="H157" t="s">
        <v>156</v>
      </c>
      <c r="I157">
        <v>2</v>
      </c>
      <c r="J157">
        <v>1299</v>
      </c>
      <c r="K157">
        <v>2598</v>
      </c>
      <c r="L157">
        <v>20</v>
      </c>
      <c r="M157" t="s">
        <v>22</v>
      </c>
      <c r="N157" t="s">
        <v>31</v>
      </c>
      <c r="O157" t="s">
        <v>24</v>
      </c>
      <c r="P157" t="s">
        <v>62</v>
      </c>
    </row>
    <row r="158" spans="1:16" x14ac:dyDescent="0.25">
      <c r="A158" t="s">
        <v>331</v>
      </c>
      <c r="B158" s="2">
        <v>46004</v>
      </c>
      <c r="C158" t="s">
        <v>155</v>
      </c>
      <c r="D158" t="s">
        <v>35</v>
      </c>
      <c r="E158">
        <v>57</v>
      </c>
      <c r="F158" t="s">
        <v>51</v>
      </c>
      <c r="G158" t="s">
        <v>68</v>
      </c>
      <c r="H158" t="s">
        <v>171</v>
      </c>
      <c r="I158">
        <v>5</v>
      </c>
      <c r="J158">
        <v>599</v>
      </c>
      <c r="K158">
        <v>2995</v>
      </c>
      <c r="L158">
        <v>5</v>
      </c>
      <c r="M158" t="s">
        <v>53</v>
      </c>
      <c r="N158" t="s">
        <v>31</v>
      </c>
      <c r="O158" t="s">
        <v>48</v>
      </c>
      <c r="P158" t="s">
        <v>86</v>
      </c>
    </row>
    <row r="159" spans="1:16" x14ac:dyDescent="0.25">
      <c r="A159" t="s">
        <v>332</v>
      </c>
      <c r="B159" s="2">
        <v>45764</v>
      </c>
      <c r="C159" t="s">
        <v>153</v>
      </c>
      <c r="D159" t="s">
        <v>35</v>
      </c>
      <c r="E159">
        <v>38</v>
      </c>
      <c r="F159" t="s">
        <v>51</v>
      </c>
      <c r="G159" t="s">
        <v>29</v>
      </c>
      <c r="H159" t="s">
        <v>64</v>
      </c>
      <c r="I159">
        <v>3</v>
      </c>
      <c r="J159">
        <v>2499</v>
      </c>
      <c r="K159">
        <v>7497</v>
      </c>
      <c r="L159">
        <v>10</v>
      </c>
      <c r="M159" t="s">
        <v>85</v>
      </c>
      <c r="N159" t="s">
        <v>31</v>
      </c>
      <c r="O159" t="s">
        <v>39</v>
      </c>
      <c r="P159" t="s">
        <v>203</v>
      </c>
    </row>
    <row r="160" spans="1:16" x14ac:dyDescent="0.25">
      <c r="A160" t="s">
        <v>333</v>
      </c>
      <c r="B160" s="2">
        <v>45834</v>
      </c>
      <c r="C160" t="s">
        <v>155</v>
      </c>
      <c r="D160" t="s">
        <v>18</v>
      </c>
      <c r="E160">
        <v>36</v>
      </c>
      <c r="F160" t="s">
        <v>98</v>
      </c>
      <c r="G160" t="s">
        <v>68</v>
      </c>
      <c r="H160" t="s">
        <v>94</v>
      </c>
      <c r="I160">
        <v>4</v>
      </c>
      <c r="J160">
        <v>799</v>
      </c>
      <c r="K160">
        <v>3196</v>
      </c>
      <c r="L160">
        <v>10</v>
      </c>
      <c r="M160" t="s">
        <v>38</v>
      </c>
      <c r="N160" t="s">
        <v>31</v>
      </c>
      <c r="O160" t="s">
        <v>39</v>
      </c>
      <c r="P160" t="s">
        <v>70</v>
      </c>
    </row>
    <row r="161" spans="1:16" x14ac:dyDescent="0.25">
      <c r="A161" t="s">
        <v>334</v>
      </c>
      <c r="B161" s="2">
        <v>45796</v>
      </c>
      <c r="C161" t="s">
        <v>27</v>
      </c>
      <c r="D161" t="s">
        <v>35</v>
      </c>
      <c r="E161">
        <v>26</v>
      </c>
      <c r="F161" t="s">
        <v>19</v>
      </c>
      <c r="G161" t="s">
        <v>36</v>
      </c>
      <c r="H161" t="s">
        <v>102</v>
      </c>
      <c r="I161">
        <v>2</v>
      </c>
      <c r="J161">
        <v>1299</v>
      </c>
      <c r="K161">
        <v>2598</v>
      </c>
      <c r="L161">
        <v>20</v>
      </c>
      <c r="M161" t="s">
        <v>85</v>
      </c>
      <c r="N161" t="s">
        <v>47</v>
      </c>
      <c r="O161" t="s">
        <v>24</v>
      </c>
      <c r="P161" t="s">
        <v>117</v>
      </c>
    </row>
    <row r="162" spans="1:16" x14ac:dyDescent="0.25">
      <c r="A162" t="s">
        <v>335</v>
      </c>
      <c r="B162" s="2">
        <v>45709</v>
      </c>
      <c r="C162" t="s">
        <v>93</v>
      </c>
      <c r="D162" t="s">
        <v>35</v>
      </c>
      <c r="E162">
        <v>48</v>
      </c>
      <c r="F162" t="s">
        <v>19</v>
      </c>
      <c r="G162" t="s">
        <v>68</v>
      </c>
      <c r="H162" t="s">
        <v>137</v>
      </c>
      <c r="I162">
        <v>2</v>
      </c>
      <c r="J162">
        <v>199</v>
      </c>
      <c r="K162">
        <v>398</v>
      </c>
      <c r="L162">
        <v>5</v>
      </c>
      <c r="M162" t="s">
        <v>38</v>
      </c>
      <c r="N162" t="s">
        <v>47</v>
      </c>
      <c r="O162" t="s">
        <v>39</v>
      </c>
      <c r="P162" t="s">
        <v>82</v>
      </c>
    </row>
    <row r="163" spans="1:16" x14ac:dyDescent="0.25">
      <c r="A163" t="s">
        <v>336</v>
      </c>
      <c r="B163" s="2">
        <v>45804</v>
      </c>
      <c r="C163" t="s">
        <v>229</v>
      </c>
      <c r="D163" t="s">
        <v>18</v>
      </c>
      <c r="E163">
        <v>23</v>
      </c>
      <c r="F163" t="s">
        <v>76</v>
      </c>
      <c r="G163" t="s">
        <v>36</v>
      </c>
      <c r="H163" t="s">
        <v>102</v>
      </c>
      <c r="I163">
        <v>3</v>
      </c>
      <c r="J163">
        <v>599</v>
      </c>
      <c r="K163">
        <v>1797</v>
      </c>
      <c r="L163">
        <v>20</v>
      </c>
      <c r="M163" t="s">
        <v>38</v>
      </c>
      <c r="N163" t="s">
        <v>47</v>
      </c>
      <c r="O163" t="s">
        <v>39</v>
      </c>
      <c r="P163" t="s">
        <v>32</v>
      </c>
    </row>
    <row r="164" spans="1:16" x14ac:dyDescent="0.25">
      <c r="A164" t="s">
        <v>337</v>
      </c>
      <c r="B164" s="2">
        <v>45806</v>
      </c>
      <c r="C164" t="s">
        <v>91</v>
      </c>
      <c r="D164" t="s">
        <v>18</v>
      </c>
      <c r="E164">
        <v>37</v>
      </c>
      <c r="F164" t="s">
        <v>19</v>
      </c>
      <c r="G164" t="s">
        <v>20</v>
      </c>
      <c r="H164" t="s">
        <v>120</v>
      </c>
      <c r="I164">
        <v>4</v>
      </c>
      <c r="J164">
        <v>299</v>
      </c>
      <c r="K164">
        <v>1196</v>
      </c>
      <c r="L164">
        <v>10</v>
      </c>
      <c r="M164" t="s">
        <v>46</v>
      </c>
      <c r="N164" t="s">
        <v>61</v>
      </c>
      <c r="O164" t="s">
        <v>48</v>
      </c>
      <c r="P164" t="s">
        <v>103</v>
      </c>
    </row>
    <row r="165" spans="1:16" x14ac:dyDescent="0.25">
      <c r="A165" t="s">
        <v>338</v>
      </c>
      <c r="B165" s="2">
        <v>45897</v>
      </c>
      <c r="C165" t="s">
        <v>59</v>
      </c>
      <c r="D165" t="s">
        <v>18</v>
      </c>
      <c r="E165">
        <v>25</v>
      </c>
      <c r="F165" t="s">
        <v>60</v>
      </c>
      <c r="G165" t="s">
        <v>68</v>
      </c>
      <c r="H165" t="s">
        <v>69</v>
      </c>
      <c r="I165">
        <v>2</v>
      </c>
      <c r="J165">
        <v>1299</v>
      </c>
      <c r="K165">
        <v>2598</v>
      </c>
      <c r="L165">
        <v>5</v>
      </c>
      <c r="M165" t="s">
        <v>22</v>
      </c>
      <c r="N165" t="s">
        <v>31</v>
      </c>
      <c r="O165" t="s">
        <v>48</v>
      </c>
      <c r="P165" t="s">
        <v>32</v>
      </c>
    </row>
    <row r="166" spans="1:16" x14ac:dyDescent="0.25">
      <c r="A166" t="s">
        <v>339</v>
      </c>
      <c r="B166" s="2">
        <v>46003</v>
      </c>
      <c r="C166" t="s">
        <v>72</v>
      </c>
      <c r="D166" t="s">
        <v>18</v>
      </c>
      <c r="E166">
        <v>29</v>
      </c>
      <c r="F166" t="s">
        <v>28</v>
      </c>
      <c r="G166" t="s">
        <v>20</v>
      </c>
      <c r="H166" t="s">
        <v>77</v>
      </c>
      <c r="I166">
        <v>3</v>
      </c>
      <c r="J166">
        <v>1499</v>
      </c>
      <c r="K166">
        <v>4497</v>
      </c>
      <c r="L166">
        <v>15</v>
      </c>
      <c r="M166" t="s">
        <v>85</v>
      </c>
      <c r="N166" t="s">
        <v>31</v>
      </c>
      <c r="O166" t="s">
        <v>24</v>
      </c>
      <c r="P166" t="s">
        <v>157</v>
      </c>
    </row>
    <row r="167" spans="1:16" x14ac:dyDescent="0.25">
      <c r="A167" t="s">
        <v>340</v>
      </c>
      <c r="B167" s="2">
        <v>45823</v>
      </c>
      <c r="C167" t="s">
        <v>259</v>
      </c>
      <c r="D167" t="s">
        <v>18</v>
      </c>
      <c r="E167">
        <v>34</v>
      </c>
      <c r="F167" t="s">
        <v>28</v>
      </c>
      <c r="G167" t="s">
        <v>20</v>
      </c>
      <c r="H167" t="s">
        <v>52</v>
      </c>
      <c r="I167">
        <v>2</v>
      </c>
      <c r="J167">
        <v>999</v>
      </c>
      <c r="K167">
        <v>1998</v>
      </c>
      <c r="L167">
        <v>5</v>
      </c>
      <c r="M167" t="s">
        <v>22</v>
      </c>
      <c r="N167" t="s">
        <v>31</v>
      </c>
      <c r="O167" t="s">
        <v>39</v>
      </c>
      <c r="P167" t="s">
        <v>86</v>
      </c>
    </row>
    <row r="168" spans="1:16" x14ac:dyDescent="0.25">
      <c r="A168" t="s">
        <v>341</v>
      </c>
      <c r="B168" s="2">
        <v>45992</v>
      </c>
      <c r="C168" t="s">
        <v>342</v>
      </c>
      <c r="D168" t="s">
        <v>18</v>
      </c>
      <c r="E168">
        <v>21</v>
      </c>
      <c r="F168" t="s">
        <v>19</v>
      </c>
      <c r="G168" t="s">
        <v>68</v>
      </c>
      <c r="H168" t="s">
        <v>94</v>
      </c>
      <c r="I168">
        <v>1</v>
      </c>
      <c r="J168">
        <v>499</v>
      </c>
      <c r="K168">
        <v>499</v>
      </c>
      <c r="L168">
        <v>15</v>
      </c>
      <c r="M168" t="s">
        <v>46</v>
      </c>
      <c r="N168" t="s">
        <v>47</v>
      </c>
      <c r="O168" t="s">
        <v>39</v>
      </c>
      <c r="P168" t="s">
        <v>78</v>
      </c>
    </row>
    <row r="169" spans="1:16" x14ac:dyDescent="0.25">
      <c r="A169" t="s">
        <v>343</v>
      </c>
      <c r="B169" s="2">
        <v>45972</v>
      </c>
      <c r="C169" t="s">
        <v>276</v>
      </c>
      <c r="D169" t="s">
        <v>18</v>
      </c>
      <c r="E169">
        <v>26</v>
      </c>
      <c r="F169" t="s">
        <v>51</v>
      </c>
      <c r="G169" t="s">
        <v>44</v>
      </c>
      <c r="H169" t="s">
        <v>45</v>
      </c>
      <c r="I169">
        <v>3</v>
      </c>
      <c r="J169">
        <v>599</v>
      </c>
      <c r="K169">
        <v>1797</v>
      </c>
      <c r="L169">
        <v>5</v>
      </c>
      <c r="M169" t="s">
        <v>22</v>
      </c>
      <c r="N169" t="s">
        <v>31</v>
      </c>
      <c r="O169" t="s">
        <v>39</v>
      </c>
      <c r="P169" t="s">
        <v>103</v>
      </c>
    </row>
    <row r="170" spans="1:16" x14ac:dyDescent="0.25">
      <c r="A170" t="s">
        <v>344</v>
      </c>
      <c r="B170" s="2">
        <v>46006</v>
      </c>
      <c r="C170" t="s">
        <v>72</v>
      </c>
      <c r="D170" t="s">
        <v>18</v>
      </c>
      <c r="E170">
        <v>51</v>
      </c>
      <c r="F170" t="s">
        <v>51</v>
      </c>
      <c r="G170" t="s">
        <v>36</v>
      </c>
      <c r="H170" t="s">
        <v>133</v>
      </c>
      <c r="I170">
        <v>2</v>
      </c>
      <c r="J170">
        <v>399</v>
      </c>
      <c r="K170">
        <v>798</v>
      </c>
      <c r="L170">
        <v>20</v>
      </c>
      <c r="M170" t="s">
        <v>46</v>
      </c>
      <c r="N170" t="s">
        <v>23</v>
      </c>
      <c r="O170" t="s">
        <v>48</v>
      </c>
      <c r="P170" t="s">
        <v>203</v>
      </c>
    </row>
    <row r="171" spans="1:16" x14ac:dyDescent="0.25">
      <c r="A171" t="s">
        <v>345</v>
      </c>
      <c r="B171" s="2">
        <v>45951</v>
      </c>
      <c r="C171" t="s">
        <v>56</v>
      </c>
      <c r="D171" t="s">
        <v>18</v>
      </c>
      <c r="E171">
        <v>28</v>
      </c>
      <c r="F171" t="s">
        <v>60</v>
      </c>
      <c r="G171" t="s">
        <v>20</v>
      </c>
      <c r="H171" t="s">
        <v>81</v>
      </c>
      <c r="I171">
        <v>5</v>
      </c>
      <c r="J171">
        <v>399</v>
      </c>
      <c r="K171">
        <v>1995</v>
      </c>
      <c r="L171">
        <v>20</v>
      </c>
      <c r="M171" t="s">
        <v>22</v>
      </c>
      <c r="N171" t="s">
        <v>23</v>
      </c>
      <c r="O171" t="s">
        <v>48</v>
      </c>
      <c r="P171" t="s">
        <v>54</v>
      </c>
    </row>
    <row r="172" spans="1:16" x14ac:dyDescent="0.25">
      <c r="A172" t="s">
        <v>346</v>
      </c>
      <c r="B172" s="2">
        <v>45886</v>
      </c>
      <c r="C172" t="s">
        <v>105</v>
      </c>
      <c r="D172" t="s">
        <v>35</v>
      </c>
      <c r="E172">
        <v>26</v>
      </c>
      <c r="F172" t="s">
        <v>28</v>
      </c>
      <c r="G172" t="s">
        <v>68</v>
      </c>
      <c r="H172" t="s">
        <v>69</v>
      </c>
      <c r="I172">
        <v>1</v>
      </c>
      <c r="J172">
        <v>1299</v>
      </c>
      <c r="K172">
        <v>1299</v>
      </c>
      <c r="L172">
        <v>15</v>
      </c>
      <c r="M172" t="s">
        <v>85</v>
      </c>
      <c r="N172" t="s">
        <v>23</v>
      </c>
      <c r="O172" t="s">
        <v>48</v>
      </c>
      <c r="P172" t="s">
        <v>62</v>
      </c>
    </row>
    <row r="173" spans="1:16" x14ac:dyDescent="0.25">
      <c r="A173" t="s">
        <v>347</v>
      </c>
      <c r="B173" s="2">
        <v>45659</v>
      </c>
      <c r="C173" t="s">
        <v>190</v>
      </c>
      <c r="D173" t="s">
        <v>18</v>
      </c>
      <c r="E173">
        <v>55</v>
      </c>
      <c r="F173" t="s">
        <v>19</v>
      </c>
      <c r="G173" t="s">
        <v>44</v>
      </c>
      <c r="H173" t="s">
        <v>45</v>
      </c>
      <c r="I173">
        <v>4</v>
      </c>
      <c r="J173">
        <v>499</v>
      </c>
      <c r="K173">
        <v>1996</v>
      </c>
      <c r="L173">
        <v>0</v>
      </c>
      <c r="M173" t="s">
        <v>22</v>
      </c>
      <c r="N173" t="s">
        <v>31</v>
      </c>
      <c r="O173" t="s">
        <v>48</v>
      </c>
      <c r="P173" t="s">
        <v>25</v>
      </c>
    </row>
    <row r="174" spans="1:16" x14ac:dyDescent="0.25">
      <c r="A174" t="s">
        <v>348</v>
      </c>
      <c r="B174" s="2">
        <v>45674</v>
      </c>
      <c r="C174" t="s">
        <v>116</v>
      </c>
      <c r="D174" t="s">
        <v>35</v>
      </c>
      <c r="E174">
        <v>29</v>
      </c>
      <c r="F174" t="s">
        <v>124</v>
      </c>
      <c r="G174" t="s">
        <v>68</v>
      </c>
      <c r="H174" t="s">
        <v>73</v>
      </c>
      <c r="I174">
        <v>1</v>
      </c>
      <c r="J174">
        <v>999</v>
      </c>
      <c r="K174">
        <v>999</v>
      </c>
      <c r="L174">
        <v>15</v>
      </c>
      <c r="M174" t="s">
        <v>46</v>
      </c>
      <c r="N174" t="s">
        <v>61</v>
      </c>
      <c r="O174" t="s">
        <v>39</v>
      </c>
      <c r="P174" t="s">
        <v>157</v>
      </c>
    </row>
    <row r="175" spans="1:16" x14ac:dyDescent="0.25">
      <c r="A175" t="s">
        <v>349</v>
      </c>
      <c r="B175" s="2">
        <v>45992</v>
      </c>
      <c r="C175" t="s">
        <v>350</v>
      </c>
      <c r="D175" t="s">
        <v>18</v>
      </c>
      <c r="E175">
        <v>29</v>
      </c>
      <c r="F175" t="s">
        <v>28</v>
      </c>
      <c r="G175" t="s">
        <v>36</v>
      </c>
      <c r="H175" t="s">
        <v>156</v>
      </c>
      <c r="I175">
        <v>5</v>
      </c>
      <c r="J175">
        <v>299</v>
      </c>
      <c r="K175">
        <v>1495</v>
      </c>
      <c r="L175">
        <v>20</v>
      </c>
      <c r="M175" t="s">
        <v>53</v>
      </c>
      <c r="N175" t="s">
        <v>47</v>
      </c>
      <c r="O175" t="s">
        <v>24</v>
      </c>
      <c r="P175" t="s">
        <v>121</v>
      </c>
    </row>
    <row r="176" spans="1:16" x14ac:dyDescent="0.25">
      <c r="A176" t="s">
        <v>351</v>
      </c>
      <c r="B176" s="2">
        <v>45930</v>
      </c>
      <c r="C176" t="s">
        <v>42</v>
      </c>
      <c r="D176" t="s">
        <v>18</v>
      </c>
      <c r="E176">
        <v>33</v>
      </c>
      <c r="F176" t="s">
        <v>51</v>
      </c>
      <c r="G176" t="s">
        <v>44</v>
      </c>
      <c r="H176" t="s">
        <v>99</v>
      </c>
      <c r="I176">
        <v>5</v>
      </c>
      <c r="J176">
        <v>799</v>
      </c>
      <c r="K176">
        <v>3995</v>
      </c>
      <c r="L176">
        <v>10</v>
      </c>
      <c r="M176" t="s">
        <v>53</v>
      </c>
      <c r="N176" t="s">
        <v>31</v>
      </c>
      <c r="O176" t="s">
        <v>24</v>
      </c>
      <c r="P176" t="s">
        <v>203</v>
      </c>
    </row>
    <row r="177" spans="1:16" x14ac:dyDescent="0.25">
      <c r="A177" t="s">
        <v>352</v>
      </c>
      <c r="B177" s="2">
        <v>45781</v>
      </c>
      <c r="C177" t="s">
        <v>353</v>
      </c>
      <c r="D177" t="s">
        <v>18</v>
      </c>
      <c r="E177">
        <v>24</v>
      </c>
      <c r="F177" t="s">
        <v>98</v>
      </c>
      <c r="G177" t="s">
        <v>20</v>
      </c>
      <c r="H177" t="s">
        <v>120</v>
      </c>
      <c r="I177">
        <v>5</v>
      </c>
      <c r="J177">
        <v>199</v>
      </c>
      <c r="K177">
        <v>995</v>
      </c>
      <c r="L177">
        <v>15</v>
      </c>
      <c r="M177" t="s">
        <v>85</v>
      </c>
      <c r="N177" t="s">
        <v>23</v>
      </c>
      <c r="O177" t="s">
        <v>24</v>
      </c>
      <c r="P177" t="s">
        <v>117</v>
      </c>
    </row>
    <row r="178" spans="1:16" x14ac:dyDescent="0.25">
      <c r="A178" t="s">
        <v>354</v>
      </c>
      <c r="B178" s="2">
        <v>45769</v>
      </c>
      <c r="C178" t="s">
        <v>72</v>
      </c>
      <c r="D178" t="s">
        <v>18</v>
      </c>
      <c r="E178">
        <v>26</v>
      </c>
      <c r="F178" t="s">
        <v>43</v>
      </c>
      <c r="G178" t="s">
        <v>36</v>
      </c>
      <c r="H178" t="s">
        <v>355</v>
      </c>
      <c r="I178">
        <v>2</v>
      </c>
      <c r="J178">
        <v>1299</v>
      </c>
      <c r="K178">
        <v>2598</v>
      </c>
      <c r="L178">
        <v>5</v>
      </c>
      <c r="M178" t="s">
        <v>85</v>
      </c>
      <c r="N178" t="s">
        <v>31</v>
      </c>
      <c r="O178" t="s">
        <v>48</v>
      </c>
      <c r="P178" t="s">
        <v>40</v>
      </c>
    </row>
    <row r="179" spans="1:16" x14ac:dyDescent="0.25">
      <c r="A179" t="s">
        <v>356</v>
      </c>
      <c r="B179" s="2">
        <v>45996</v>
      </c>
      <c r="C179" t="s">
        <v>357</v>
      </c>
      <c r="D179" t="s">
        <v>18</v>
      </c>
      <c r="E179">
        <v>44</v>
      </c>
      <c r="F179" t="s">
        <v>43</v>
      </c>
      <c r="G179" t="s">
        <v>44</v>
      </c>
      <c r="H179" t="s">
        <v>235</v>
      </c>
      <c r="I179">
        <v>3</v>
      </c>
      <c r="J179">
        <v>299</v>
      </c>
      <c r="K179">
        <v>897</v>
      </c>
      <c r="L179">
        <v>10</v>
      </c>
      <c r="M179" t="s">
        <v>38</v>
      </c>
      <c r="N179" t="s">
        <v>47</v>
      </c>
      <c r="O179" t="s">
        <v>48</v>
      </c>
      <c r="P179" t="s">
        <v>134</v>
      </c>
    </row>
    <row r="180" spans="1:16" x14ac:dyDescent="0.25">
      <c r="A180" t="s">
        <v>358</v>
      </c>
      <c r="B180" s="2">
        <v>45987</v>
      </c>
      <c r="C180" t="s">
        <v>290</v>
      </c>
      <c r="D180" t="s">
        <v>35</v>
      </c>
      <c r="E180">
        <v>51</v>
      </c>
      <c r="F180" t="s">
        <v>60</v>
      </c>
      <c r="G180" t="s">
        <v>68</v>
      </c>
      <c r="H180" t="s">
        <v>69</v>
      </c>
      <c r="I180">
        <v>1</v>
      </c>
      <c r="J180">
        <v>599</v>
      </c>
      <c r="K180">
        <v>599</v>
      </c>
      <c r="L180">
        <v>15</v>
      </c>
      <c r="M180" t="s">
        <v>22</v>
      </c>
      <c r="N180" t="s">
        <v>47</v>
      </c>
      <c r="O180" t="s">
        <v>39</v>
      </c>
      <c r="P180" t="s">
        <v>157</v>
      </c>
    </row>
    <row r="181" spans="1:16" x14ac:dyDescent="0.25">
      <c r="A181" t="s">
        <v>359</v>
      </c>
      <c r="B181" s="2">
        <v>45773</v>
      </c>
      <c r="C181" t="s">
        <v>360</v>
      </c>
      <c r="D181" t="s">
        <v>18</v>
      </c>
      <c r="E181">
        <v>47</v>
      </c>
      <c r="F181" t="s">
        <v>98</v>
      </c>
      <c r="G181" t="s">
        <v>29</v>
      </c>
      <c r="H181" t="s">
        <v>200</v>
      </c>
      <c r="I181">
        <v>4</v>
      </c>
      <c r="J181">
        <v>399</v>
      </c>
      <c r="K181">
        <v>1596</v>
      </c>
      <c r="L181">
        <v>20</v>
      </c>
      <c r="M181" t="s">
        <v>22</v>
      </c>
      <c r="N181" t="s">
        <v>61</v>
      </c>
      <c r="O181" t="s">
        <v>48</v>
      </c>
      <c r="P181" t="s">
        <v>78</v>
      </c>
    </row>
    <row r="182" spans="1:16" x14ac:dyDescent="0.25">
      <c r="A182" t="s">
        <v>361</v>
      </c>
      <c r="B182" s="2">
        <v>45762</v>
      </c>
      <c r="C182" t="s">
        <v>119</v>
      </c>
      <c r="D182" t="s">
        <v>18</v>
      </c>
      <c r="E182">
        <v>46</v>
      </c>
      <c r="F182" t="s">
        <v>60</v>
      </c>
      <c r="G182" t="s">
        <v>29</v>
      </c>
      <c r="H182" t="s">
        <v>140</v>
      </c>
      <c r="I182">
        <v>2</v>
      </c>
      <c r="J182">
        <v>499</v>
      </c>
      <c r="K182">
        <v>998</v>
      </c>
      <c r="L182">
        <v>0</v>
      </c>
      <c r="M182" t="s">
        <v>85</v>
      </c>
      <c r="N182" t="s">
        <v>47</v>
      </c>
      <c r="O182" t="s">
        <v>24</v>
      </c>
      <c r="P182" t="s">
        <v>70</v>
      </c>
    </row>
    <row r="183" spans="1:16" x14ac:dyDescent="0.25">
      <c r="A183" t="s">
        <v>362</v>
      </c>
      <c r="B183" s="2">
        <v>45695</v>
      </c>
      <c r="C183" t="s">
        <v>266</v>
      </c>
      <c r="D183" t="s">
        <v>18</v>
      </c>
      <c r="E183">
        <v>48</v>
      </c>
      <c r="F183" t="s">
        <v>76</v>
      </c>
      <c r="G183" t="s">
        <v>36</v>
      </c>
      <c r="H183" t="s">
        <v>133</v>
      </c>
      <c r="I183">
        <v>5</v>
      </c>
      <c r="J183">
        <v>199</v>
      </c>
      <c r="K183">
        <v>995</v>
      </c>
      <c r="L183">
        <v>10</v>
      </c>
      <c r="M183" t="s">
        <v>46</v>
      </c>
      <c r="N183" t="s">
        <v>23</v>
      </c>
      <c r="O183" t="s">
        <v>24</v>
      </c>
      <c r="P183" t="s">
        <v>54</v>
      </c>
    </row>
    <row r="184" spans="1:16" x14ac:dyDescent="0.25">
      <c r="A184" t="s">
        <v>363</v>
      </c>
      <c r="B184" s="2">
        <v>45967</v>
      </c>
      <c r="C184" t="s">
        <v>257</v>
      </c>
      <c r="D184" t="s">
        <v>18</v>
      </c>
      <c r="E184">
        <v>43</v>
      </c>
      <c r="F184" t="s">
        <v>76</v>
      </c>
      <c r="G184" t="s">
        <v>20</v>
      </c>
      <c r="H184" t="s">
        <v>120</v>
      </c>
      <c r="I184">
        <v>2</v>
      </c>
      <c r="J184">
        <v>2499</v>
      </c>
      <c r="K184">
        <v>4998</v>
      </c>
      <c r="L184">
        <v>20</v>
      </c>
      <c r="M184" t="s">
        <v>46</v>
      </c>
      <c r="N184" t="s">
        <v>31</v>
      </c>
      <c r="O184" t="s">
        <v>39</v>
      </c>
      <c r="P184" t="s">
        <v>62</v>
      </c>
    </row>
    <row r="185" spans="1:16" x14ac:dyDescent="0.25">
      <c r="A185" t="s">
        <v>364</v>
      </c>
      <c r="B185" s="2">
        <v>45842</v>
      </c>
      <c r="C185" t="s">
        <v>205</v>
      </c>
      <c r="D185" t="s">
        <v>35</v>
      </c>
      <c r="E185">
        <v>47</v>
      </c>
      <c r="F185" t="s">
        <v>19</v>
      </c>
      <c r="G185" t="s">
        <v>68</v>
      </c>
      <c r="H185" t="s">
        <v>171</v>
      </c>
      <c r="I185">
        <v>3</v>
      </c>
      <c r="J185">
        <v>499</v>
      </c>
      <c r="K185">
        <v>1497</v>
      </c>
      <c r="L185">
        <v>15</v>
      </c>
      <c r="M185" t="s">
        <v>46</v>
      </c>
      <c r="N185" t="s">
        <v>47</v>
      </c>
      <c r="O185" t="s">
        <v>39</v>
      </c>
      <c r="P185" t="s">
        <v>57</v>
      </c>
    </row>
    <row r="186" spans="1:16" x14ac:dyDescent="0.25">
      <c r="A186" t="s">
        <v>365</v>
      </c>
      <c r="B186" s="2">
        <v>45732</v>
      </c>
      <c r="C186" t="s">
        <v>366</v>
      </c>
      <c r="D186" t="s">
        <v>35</v>
      </c>
      <c r="E186">
        <v>53</v>
      </c>
      <c r="F186" t="s">
        <v>28</v>
      </c>
      <c r="G186" t="s">
        <v>36</v>
      </c>
      <c r="H186" t="s">
        <v>156</v>
      </c>
      <c r="I186">
        <v>5</v>
      </c>
      <c r="J186">
        <v>399</v>
      </c>
      <c r="K186">
        <v>1995</v>
      </c>
      <c r="L186">
        <v>10</v>
      </c>
      <c r="M186" t="s">
        <v>53</v>
      </c>
      <c r="N186" t="s">
        <v>47</v>
      </c>
      <c r="O186" t="s">
        <v>39</v>
      </c>
      <c r="P186" t="s">
        <v>89</v>
      </c>
    </row>
    <row r="187" spans="1:16" x14ac:dyDescent="0.25">
      <c r="A187" t="s">
        <v>367</v>
      </c>
      <c r="B187" s="2">
        <v>45939</v>
      </c>
      <c r="C187" t="s">
        <v>164</v>
      </c>
      <c r="D187" t="s">
        <v>35</v>
      </c>
      <c r="E187">
        <v>34</v>
      </c>
      <c r="F187" t="s">
        <v>51</v>
      </c>
      <c r="G187" t="s">
        <v>36</v>
      </c>
      <c r="H187" t="s">
        <v>133</v>
      </c>
      <c r="I187">
        <v>2</v>
      </c>
      <c r="J187">
        <v>999</v>
      </c>
      <c r="K187">
        <v>1998</v>
      </c>
      <c r="L187">
        <v>15</v>
      </c>
      <c r="M187" t="s">
        <v>22</v>
      </c>
      <c r="N187" t="s">
        <v>47</v>
      </c>
      <c r="O187" t="s">
        <v>48</v>
      </c>
      <c r="P187" t="s">
        <v>125</v>
      </c>
    </row>
    <row r="188" spans="1:16" x14ac:dyDescent="0.25">
      <c r="A188" t="s">
        <v>368</v>
      </c>
      <c r="B188" s="2">
        <v>45752</v>
      </c>
      <c r="C188" t="s">
        <v>114</v>
      </c>
      <c r="D188" t="s">
        <v>18</v>
      </c>
      <c r="E188">
        <v>51</v>
      </c>
      <c r="F188" t="s">
        <v>98</v>
      </c>
      <c r="G188" t="s">
        <v>29</v>
      </c>
      <c r="H188" t="s">
        <v>30</v>
      </c>
      <c r="I188">
        <v>5</v>
      </c>
      <c r="J188">
        <v>999</v>
      </c>
      <c r="K188">
        <v>4995</v>
      </c>
      <c r="L188">
        <v>0</v>
      </c>
      <c r="M188" t="s">
        <v>38</v>
      </c>
      <c r="N188" t="s">
        <v>23</v>
      </c>
      <c r="O188" t="s">
        <v>39</v>
      </c>
      <c r="P188" t="s">
        <v>65</v>
      </c>
    </row>
    <row r="189" spans="1:16" x14ac:dyDescent="0.25">
      <c r="A189" t="s">
        <v>369</v>
      </c>
      <c r="B189" s="2">
        <v>45769</v>
      </c>
      <c r="C189" t="s">
        <v>370</v>
      </c>
      <c r="D189" t="s">
        <v>35</v>
      </c>
      <c r="E189">
        <v>41</v>
      </c>
      <c r="F189" t="s">
        <v>98</v>
      </c>
      <c r="G189" t="s">
        <v>29</v>
      </c>
      <c r="H189" t="s">
        <v>108</v>
      </c>
      <c r="I189">
        <v>2</v>
      </c>
      <c r="J189">
        <v>199</v>
      </c>
      <c r="K189">
        <v>398</v>
      </c>
      <c r="L189">
        <v>20</v>
      </c>
      <c r="M189" t="s">
        <v>85</v>
      </c>
      <c r="N189" t="s">
        <v>61</v>
      </c>
      <c r="O189" t="s">
        <v>48</v>
      </c>
      <c r="P189" t="s">
        <v>82</v>
      </c>
    </row>
    <row r="190" spans="1:16" x14ac:dyDescent="0.25">
      <c r="A190" t="s">
        <v>371</v>
      </c>
      <c r="B190" s="2">
        <v>45868</v>
      </c>
      <c r="C190" t="s">
        <v>372</v>
      </c>
      <c r="D190" t="s">
        <v>18</v>
      </c>
      <c r="E190">
        <v>51</v>
      </c>
      <c r="F190" t="s">
        <v>43</v>
      </c>
      <c r="G190" t="s">
        <v>20</v>
      </c>
      <c r="H190" t="s">
        <v>21</v>
      </c>
      <c r="I190">
        <v>5</v>
      </c>
      <c r="J190">
        <v>1299</v>
      </c>
      <c r="K190">
        <v>6495</v>
      </c>
      <c r="L190">
        <v>20</v>
      </c>
      <c r="M190" t="s">
        <v>46</v>
      </c>
      <c r="N190" t="s">
        <v>23</v>
      </c>
      <c r="O190" t="s">
        <v>48</v>
      </c>
      <c r="P190" t="s">
        <v>134</v>
      </c>
    </row>
    <row r="191" spans="1:16" x14ac:dyDescent="0.25">
      <c r="A191" t="s">
        <v>373</v>
      </c>
      <c r="B191" s="2">
        <v>45734</v>
      </c>
      <c r="C191" t="s">
        <v>202</v>
      </c>
      <c r="D191" t="s">
        <v>18</v>
      </c>
      <c r="E191">
        <v>57</v>
      </c>
      <c r="F191" t="s">
        <v>43</v>
      </c>
      <c r="G191" t="s">
        <v>29</v>
      </c>
      <c r="H191" t="s">
        <v>108</v>
      </c>
      <c r="I191">
        <v>1</v>
      </c>
      <c r="J191">
        <v>1299</v>
      </c>
      <c r="K191">
        <v>1299</v>
      </c>
      <c r="L191">
        <v>10</v>
      </c>
      <c r="M191" t="s">
        <v>46</v>
      </c>
      <c r="N191" t="s">
        <v>61</v>
      </c>
      <c r="O191" t="s">
        <v>24</v>
      </c>
      <c r="P191" t="s">
        <v>125</v>
      </c>
    </row>
    <row r="192" spans="1:16" x14ac:dyDescent="0.25">
      <c r="A192" t="s">
        <v>374</v>
      </c>
      <c r="B192" s="2">
        <v>46014</v>
      </c>
      <c r="C192" t="s">
        <v>276</v>
      </c>
      <c r="D192" t="s">
        <v>35</v>
      </c>
      <c r="E192">
        <v>23</v>
      </c>
      <c r="F192" t="s">
        <v>98</v>
      </c>
      <c r="G192" t="s">
        <v>36</v>
      </c>
      <c r="H192" t="s">
        <v>355</v>
      </c>
      <c r="I192">
        <v>5</v>
      </c>
      <c r="J192">
        <v>399</v>
      </c>
      <c r="K192">
        <v>1995</v>
      </c>
      <c r="L192">
        <v>0</v>
      </c>
      <c r="M192" t="s">
        <v>22</v>
      </c>
      <c r="N192" t="s">
        <v>61</v>
      </c>
      <c r="O192" t="s">
        <v>39</v>
      </c>
      <c r="P192" t="s">
        <v>103</v>
      </c>
    </row>
    <row r="193" spans="1:16" x14ac:dyDescent="0.25">
      <c r="A193" t="s">
        <v>375</v>
      </c>
      <c r="B193" s="2">
        <v>45745</v>
      </c>
      <c r="C193" t="s">
        <v>272</v>
      </c>
      <c r="D193" t="s">
        <v>35</v>
      </c>
      <c r="E193">
        <v>45</v>
      </c>
      <c r="F193" t="s">
        <v>60</v>
      </c>
      <c r="G193" t="s">
        <v>36</v>
      </c>
      <c r="H193" t="s">
        <v>156</v>
      </c>
      <c r="I193">
        <v>1</v>
      </c>
      <c r="J193">
        <v>2499</v>
      </c>
      <c r="K193">
        <v>2499</v>
      </c>
      <c r="L193">
        <v>20</v>
      </c>
      <c r="M193" t="s">
        <v>38</v>
      </c>
      <c r="N193" t="s">
        <v>23</v>
      </c>
      <c r="O193" t="s">
        <v>24</v>
      </c>
      <c r="P193" t="s">
        <v>54</v>
      </c>
    </row>
    <row r="194" spans="1:16" x14ac:dyDescent="0.25">
      <c r="A194" t="s">
        <v>376</v>
      </c>
      <c r="B194" s="2">
        <v>45696</v>
      </c>
      <c r="C194" t="s">
        <v>377</v>
      </c>
      <c r="D194" t="s">
        <v>35</v>
      </c>
      <c r="E194">
        <v>52</v>
      </c>
      <c r="F194" t="s">
        <v>98</v>
      </c>
      <c r="G194" t="s">
        <v>68</v>
      </c>
      <c r="H194" t="s">
        <v>69</v>
      </c>
      <c r="I194">
        <v>3</v>
      </c>
      <c r="J194">
        <v>199</v>
      </c>
      <c r="K194">
        <v>597</v>
      </c>
      <c r="L194">
        <v>5</v>
      </c>
      <c r="M194" t="s">
        <v>46</v>
      </c>
      <c r="N194" t="s">
        <v>23</v>
      </c>
      <c r="O194" t="s">
        <v>24</v>
      </c>
      <c r="P194" t="s">
        <v>193</v>
      </c>
    </row>
    <row r="195" spans="1:16" x14ac:dyDescent="0.25">
      <c r="A195" t="s">
        <v>378</v>
      </c>
      <c r="B195" s="2">
        <v>45741</v>
      </c>
      <c r="C195" t="s">
        <v>302</v>
      </c>
      <c r="D195" t="s">
        <v>18</v>
      </c>
      <c r="E195">
        <v>54</v>
      </c>
      <c r="F195" t="s">
        <v>28</v>
      </c>
      <c r="G195" t="s">
        <v>29</v>
      </c>
      <c r="H195" t="s">
        <v>140</v>
      </c>
      <c r="I195">
        <v>1</v>
      </c>
      <c r="J195">
        <v>499</v>
      </c>
      <c r="K195">
        <v>499</v>
      </c>
      <c r="L195">
        <v>20</v>
      </c>
      <c r="M195" t="s">
        <v>46</v>
      </c>
      <c r="N195" t="s">
        <v>61</v>
      </c>
      <c r="O195" t="s">
        <v>48</v>
      </c>
      <c r="P195" t="s">
        <v>65</v>
      </c>
    </row>
    <row r="196" spans="1:16" x14ac:dyDescent="0.25">
      <c r="A196" t="s">
        <v>379</v>
      </c>
      <c r="B196" s="2">
        <v>45708</v>
      </c>
      <c r="C196" t="s">
        <v>296</v>
      </c>
      <c r="D196" t="s">
        <v>18</v>
      </c>
      <c r="E196">
        <v>22</v>
      </c>
      <c r="F196" t="s">
        <v>60</v>
      </c>
      <c r="G196" t="s">
        <v>20</v>
      </c>
      <c r="H196" t="s">
        <v>81</v>
      </c>
      <c r="I196">
        <v>3</v>
      </c>
      <c r="J196">
        <v>199</v>
      </c>
      <c r="K196">
        <v>597</v>
      </c>
      <c r="L196">
        <v>20</v>
      </c>
      <c r="M196" t="s">
        <v>85</v>
      </c>
      <c r="N196" t="s">
        <v>61</v>
      </c>
      <c r="O196" t="s">
        <v>39</v>
      </c>
      <c r="P196" t="s">
        <v>121</v>
      </c>
    </row>
    <row r="197" spans="1:16" x14ac:dyDescent="0.25">
      <c r="A197" t="s">
        <v>380</v>
      </c>
      <c r="B197" s="2">
        <v>45840</v>
      </c>
      <c r="C197" t="s">
        <v>97</v>
      </c>
      <c r="D197" t="s">
        <v>35</v>
      </c>
      <c r="E197">
        <v>45</v>
      </c>
      <c r="F197" t="s">
        <v>124</v>
      </c>
      <c r="G197" t="s">
        <v>44</v>
      </c>
      <c r="H197" t="s">
        <v>99</v>
      </c>
      <c r="I197">
        <v>4</v>
      </c>
      <c r="J197">
        <v>399</v>
      </c>
      <c r="K197">
        <v>1596</v>
      </c>
      <c r="L197">
        <v>20</v>
      </c>
      <c r="M197" t="s">
        <v>22</v>
      </c>
      <c r="N197" t="s">
        <v>23</v>
      </c>
      <c r="O197" t="s">
        <v>48</v>
      </c>
      <c r="P197" t="s">
        <v>86</v>
      </c>
    </row>
    <row r="198" spans="1:16" x14ac:dyDescent="0.25">
      <c r="A198" t="s">
        <v>381</v>
      </c>
      <c r="B198" s="2">
        <v>45736</v>
      </c>
      <c r="C198" t="s">
        <v>42</v>
      </c>
      <c r="D198" t="s">
        <v>18</v>
      </c>
      <c r="E198">
        <v>42</v>
      </c>
      <c r="F198" t="s">
        <v>60</v>
      </c>
      <c r="G198" t="s">
        <v>29</v>
      </c>
      <c r="H198" t="s">
        <v>108</v>
      </c>
      <c r="I198">
        <v>1</v>
      </c>
      <c r="J198">
        <v>499</v>
      </c>
      <c r="K198">
        <v>499</v>
      </c>
      <c r="L198">
        <v>10</v>
      </c>
      <c r="M198" t="s">
        <v>38</v>
      </c>
      <c r="N198" t="s">
        <v>23</v>
      </c>
      <c r="O198" t="s">
        <v>24</v>
      </c>
      <c r="P198" t="s">
        <v>86</v>
      </c>
    </row>
    <row r="199" spans="1:16" x14ac:dyDescent="0.25">
      <c r="A199" t="s">
        <v>382</v>
      </c>
      <c r="B199" s="2">
        <v>45725</v>
      </c>
      <c r="C199" t="s">
        <v>313</v>
      </c>
      <c r="D199" t="s">
        <v>18</v>
      </c>
      <c r="E199">
        <v>45</v>
      </c>
      <c r="F199" t="s">
        <v>51</v>
      </c>
      <c r="G199" t="s">
        <v>36</v>
      </c>
      <c r="H199" t="s">
        <v>37</v>
      </c>
      <c r="I199">
        <v>3</v>
      </c>
      <c r="J199">
        <v>249</v>
      </c>
      <c r="K199">
        <v>747</v>
      </c>
      <c r="L199">
        <v>20</v>
      </c>
      <c r="M199" t="s">
        <v>85</v>
      </c>
      <c r="N199" t="s">
        <v>61</v>
      </c>
      <c r="O199" t="s">
        <v>24</v>
      </c>
      <c r="P199" t="s">
        <v>121</v>
      </c>
    </row>
    <row r="200" spans="1:16" x14ac:dyDescent="0.25">
      <c r="A200" t="s">
        <v>383</v>
      </c>
      <c r="B200" s="2">
        <v>45963</v>
      </c>
      <c r="C200" t="s">
        <v>270</v>
      </c>
      <c r="D200" t="s">
        <v>35</v>
      </c>
      <c r="E200">
        <v>42</v>
      </c>
      <c r="F200" t="s">
        <v>98</v>
      </c>
      <c r="G200" t="s">
        <v>20</v>
      </c>
      <c r="H200" t="s">
        <v>77</v>
      </c>
      <c r="I200">
        <v>5</v>
      </c>
      <c r="J200">
        <v>249</v>
      </c>
      <c r="K200">
        <v>1245</v>
      </c>
      <c r="L200">
        <v>10</v>
      </c>
      <c r="M200" t="s">
        <v>22</v>
      </c>
      <c r="N200" t="s">
        <v>61</v>
      </c>
      <c r="O200" t="s">
        <v>24</v>
      </c>
      <c r="P200" t="s">
        <v>103</v>
      </c>
    </row>
    <row r="201" spans="1:16" x14ac:dyDescent="0.25">
      <c r="A201" t="s">
        <v>384</v>
      </c>
      <c r="B201" s="2">
        <v>46008</v>
      </c>
      <c r="C201" t="s">
        <v>42</v>
      </c>
      <c r="D201" t="s">
        <v>18</v>
      </c>
      <c r="E201">
        <v>26</v>
      </c>
      <c r="F201" t="s">
        <v>43</v>
      </c>
      <c r="G201" t="s">
        <v>29</v>
      </c>
      <c r="H201" t="s">
        <v>200</v>
      </c>
      <c r="I201">
        <v>5</v>
      </c>
      <c r="J201">
        <v>299</v>
      </c>
      <c r="K201">
        <v>1495</v>
      </c>
      <c r="L201">
        <v>10</v>
      </c>
      <c r="M201" t="s">
        <v>46</v>
      </c>
      <c r="N201" t="s">
        <v>61</v>
      </c>
      <c r="O201" t="s">
        <v>24</v>
      </c>
      <c r="P201" t="s">
        <v>25</v>
      </c>
    </row>
    <row r="202" spans="1:16" x14ac:dyDescent="0.25">
      <c r="A202" t="s">
        <v>385</v>
      </c>
      <c r="B202" s="2">
        <v>45811</v>
      </c>
      <c r="C202" t="s">
        <v>182</v>
      </c>
      <c r="D202" t="s">
        <v>18</v>
      </c>
      <c r="E202">
        <v>41</v>
      </c>
      <c r="F202" t="s">
        <v>43</v>
      </c>
      <c r="G202" t="s">
        <v>29</v>
      </c>
      <c r="H202" t="s">
        <v>140</v>
      </c>
      <c r="I202">
        <v>3</v>
      </c>
      <c r="J202">
        <v>799</v>
      </c>
      <c r="K202">
        <v>2397</v>
      </c>
      <c r="L202">
        <v>5</v>
      </c>
      <c r="M202" t="s">
        <v>22</v>
      </c>
      <c r="N202" t="s">
        <v>47</v>
      </c>
      <c r="O202" t="s">
        <v>39</v>
      </c>
      <c r="P202" t="s">
        <v>203</v>
      </c>
    </row>
    <row r="203" spans="1:16" x14ac:dyDescent="0.25">
      <c r="A203" t="s">
        <v>386</v>
      </c>
      <c r="B203" s="2">
        <v>45828</v>
      </c>
      <c r="C203" t="s">
        <v>142</v>
      </c>
      <c r="D203" t="s">
        <v>35</v>
      </c>
      <c r="E203">
        <v>39</v>
      </c>
      <c r="F203" t="s">
        <v>51</v>
      </c>
      <c r="G203" t="s">
        <v>29</v>
      </c>
      <c r="H203" t="s">
        <v>64</v>
      </c>
      <c r="I203">
        <v>1</v>
      </c>
      <c r="J203">
        <v>799</v>
      </c>
      <c r="K203">
        <v>799</v>
      </c>
      <c r="L203">
        <v>10</v>
      </c>
      <c r="M203" t="s">
        <v>22</v>
      </c>
      <c r="N203" t="s">
        <v>47</v>
      </c>
      <c r="O203" t="s">
        <v>39</v>
      </c>
      <c r="P203" t="s">
        <v>57</v>
      </c>
    </row>
    <row r="204" spans="1:16" x14ac:dyDescent="0.25">
      <c r="A204" t="s">
        <v>387</v>
      </c>
      <c r="B204" s="2">
        <v>45748</v>
      </c>
      <c r="C204" t="s">
        <v>388</v>
      </c>
      <c r="D204" t="s">
        <v>35</v>
      </c>
      <c r="E204">
        <v>36</v>
      </c>
      <c r="F204" t="s">
        <v>51</v>
      </c>
      <c r="G204" t="s">
        <v>68</v>
      </c>
      <c r="H204" t="s">
        <v>137</v>
      </c>
      <c r="I204">
        <v>4</v>
      </c>
      <c r="J204">
        <v>599</v>
      </c>
      <c r="K204">
        <v>2396</v>
      </c>
      <c r="L204">
        <v>20</v>
      </c>
      <c r="M204" t="s">
        <v>53</v>
      </c>
      <c r="N204" t="s">
        <v>31</v>
      </c>
      <c r="O204" t="s">
        <v>39</v>
      </c>
      <c r="P204" t="s">
        <v>70</v>
      </c>
    </row>
    <row r="205" spans="1:16" x14ac:dyDescent="0.25">
      <c r="A205" t="s">
        <v>389</v>
      </c>
      <c r="B205" s="2">
        <v>45760</v>
      </c>
      <c r="C205" t="s">
        <v>310</v>
      </c>
      <c r="D205" t="s">
        <v>18</v>
      </c>
      <c r="E205">
        <v>53</v>
      </c>
      <c r="F205" t="s">
        <v>98</v>
      </c>
      <c r="G205" t="s">
        <v>36</v>
      </c>
      <c r="H205" t="s">
        <v>37</v>
      </c>
      <c r="I205">
        <v>1</v>
      </c>
      <c r="J205">
        <v>1499</v>
      </c>
      <c r="K205">
        <v>1499</v>
      </c>
      <c r="L205">
        <v>15</v>
      </c>
      <c r="M205" t="s">
        <v>53</v>
      </c>
      <c r="N205" t="s">
        <v>61</v>
      </c>
      <c r="O205" t="s">
        <v>39</v>
      </c>
      <c r="P205" t="s">
        <v>25</v>
      </c>
    </row>
    <row r="206" spans="1:16" x14ac:dyDescent="0.25">
      <c r="A206" t="s">
        <v>390</v>
      </c>
      <c r="B206" s="2">
        <v>45813</v>
      </c>
      <c r="C206" t="s">
        <v>202</v>
      </c>
      <c r="D206" t="s">
        <v>35</v>
      </c>
      <c r="E206">
        <v>60</v>
      </c>
      <c r="F206" t="s">
        <v>124</v>
      </c>
      <c r="G206" t="s">
        <v>36</v>
      </c>
      <c r="H206" t="s">
        <v>355</v>
      </c>
      <c r="I206">
        <v>2</v>
      </c>
      <c r="J206">
        <v>1999</v>
      </c>
      <c r="K206">
        <v>3998</v>
      </c>
      <c r="L206">
        <v>15</v>
      </c>
      <c r="M206" t="s">
        <v>22</v>
      </c>
      <c r="N206" t="s">
        <v>23</v>
      </c>
      <c r="O206" t="s">
        <v>39</v>
      </c>
      <c r="P206" t="s">
        <v>40</v>
      </c>
    </row>
    <row r="207" spans="1:16" x14ac:dyDescent="0.25">
      <c r="A207" t="s">
        <v>391</v>
      </c>
      <c r="B207" s="2">
        <v>45917</v>
      </c>
      <c r="C207" t="s">
        <v>153</v>
      </c>
      <c r="D207" t="s">
        <v>35</v>
      </c>
      <c r="E207">
        <v>52</v>
      </c>
      <c r="F207" t="s">
        <v>98</v>
      </c>
      <c r="G207" t="s">
        <v>36</v>
      </c>
      <c r="H207" t="s">
        <v>133</v>
      </c>
      <c r="I207">
        <v>4</v>
      </c>
      <c r="J207">
        <v>1299</v>
      </c>
      <c r="K207">
        <v>5196</v>
      </c>
      <c r="L207">
        <v>10</v>
      </c>
      <c r="M207" t="s">
        <v>85</v>
      </c>
      <c r="N207" t="s">
        <v>23</v>
      </c>
      <c r="O207" t="s">
        <v>24</v>
      </c>
      <c r="P207" t="s">
        <v>89</v>
      </c>
    </row>
    <row r="208" spans="1:16" x14ac:dyDescent="0.25">
      <c r="A208" t="s">
        <v>392</v>
      </c>
      <c r="B208" s="2">
        <v>45946</v>
      </c>
      <c r="C208" t="s">
        <v>229</v>
      </c>
      <c r="D208" t="s">
        <v>35</v>
      </c>
      <c r="E208">
        <v>39</v>
      </c>
      <c r="F208" t="s">
        <v>28</v>
      </c>
      <c r="G208" t="s">
        <v>44</v>
      </c>
      <c r="H208" t="s">
        <v>235</v>
      </c>
      <c r="I208">
        <v>5</v>
      </c>
      <c r="J208">
        <v>199</v>
      </c>
      <c r="K208">
        <v>995</v>
      </c>
      <c r="L208">
        <v>0</v>
      </c>
      <c r="M208" t="s">
        <v>38</v>
      </c>
      <c r="N208" t="s">
        <v>23</v>
      </c>
      <c r="O208" t="s">
        <v>39</v>
      </c>
      <c r="P208" t="s">
        <v>89</v>
      </c>
    </row>
    <row r="209" spans="1:16" x14ac:dyDescent="0.25">
      <c r="A209" t="s">
        <v>393</v>
      </c>
      <c r="B209" s="2">
        <v>46010</v>
      </c>
      <c r="C209" t="s">
        <v>132</v>
      </c>
      <c r="D209" t="s">
        <v>18</v>
      </c>
      <c r="E209">
        <v>46</v>
      </c>
      <c r="F209" t="s">
        <v>60</v>
      </c>
      <c r="G209" t="s">
        <v>68</v>
      </c>
      <c r="H209" t="s">
        <v>94</v>
      </c>
      <c r="I209">
        <v>5</v>
      </c>
      <c r="J209">
        <v>1499</v>
      </c>
      <c r="K209">
        <v>7495</v>
      </c>
      <c r="L209">
        <v>15</v>
      </c>
      <c r="M209" t="s">
        <v>22</v>
      </c>
      <c r="N209" t="s">
        <v>47</v>
      </c>
      <c r="O209" t="s">
        <v>39</v>
      </c>
      <c r="P209" t="s">
        <v>121</v>
      </c>
    </row>
    <row r="210" spans="1:16" x14ac:dyDescent="0.25">
      <c r="A210" t="s">
        <v>394</v>
      </c>
      <c r="B210" s="2">
        <v>45701</v>
      </c>
      <c r="C210" t="s">
        <v>80</v>
      </c>
      <c r="D210" t="s">
        <v>18</v>
      </c>
      <c r="E210">
        <v>40</v>
      </c>
      <c r="F210" t="s">
        <v>43</v>
      </c>
      <c r="G210" t="s">
        <v>36</v>
      </c>
      <c r="H210" t="s">
        <v>156</v>
      </c>
      <c r="I210">
        <v>3</v>
      </c>
      <c r="J210">
        <v>799</v>
      </c>
      <c r="K210">
        <v>2397</v>
      </c>
      <c r="L210">
        <v>10</v>
      </c>
      <c r="M210" t="s">
        <v>22</v>
      </c>
      <c r="N210" t="s">
        <v>47</v>
      </c>
      <c r="O210" t="s">
        <v>48</v>
      </c>
      <c r="P210" t="s">
        <v>82</v>
      </c>
    </row>
    <row r="211" spans="1:16" x14ac:dyDescent="0.25">
      <c r="A211" t="s">
        <v>395</v>
      </c>
      <c r="B211" s="2">
        <v>46014</v>
      </c>
      <c r="C211" t="s">
        <v>186</v>
      </c>
      <c r="D211" t="s">
        <v>35</v>
      </c>
      <c r="E211">
        <v>22</v>
      </c>
      <c r="F211" t="s">
        <v>43</v>
      </c>
      <c r="G211" t="s">
        <v>44</v>
      </c>
      <c r="H211" t="s">
        <v>99</v>
      </c>
      <c r="I211">
        <v>1</v>
      </c>
      <c r="J211">
        <v>999</v>
      </c>
      <c r="K211">
        <v>999</v>
      </c>
      <c r="L211">
        <v>0</v>
      </c>
      <c r="M211" t="s">
        <v>38</v>
      </c>
      <c r="N211" t="s">
        <v>23</v>
      </c>
      <c r="O211" t="s">
        <v>39</v>
      </c>
      <c r="P211" t="s">
        <v>203</v>
      </c>
    </row>
    <row r="212" spans="1:16" x14ac:dyDescent="0.25">
      <c r="A212" t="s">
        <v>396</v>
      </c>
      <c r="B212" s="2">
        <v>45940</v>
      </c>
      <c r="C212" t="s">
        <v>218</v>
      </c>
      <c r="D212" t="s">
        <v>35</v>
      </c>
      <c r="E212">
        <v>53</v>
      </c>
      <c r="F212" t="s">
        <v>28</v>
      </c>
      <c r="G212" t="s">
        <v>29</v>
      </c>
      <c r="H212" t="s">
        <v>30</v>
      </c>
      <c r="I212">
        <v>5</v>
      </c>
      <c r="J212">
        <v>299</v>
      </c>
      <c r="K212">
        <v>1495</v>
      </c>
      <c r="L212">
        <v>15</v>
      </c>
      <c r="M212" t="s">
        <v>53</v>
      </c>
      <c r="N212" t="s">
        <v>61</v>
      </c>
      <c r="O212" t="s">
        <v>48</v>
      </c>
      <c r="P212" t="s">
        <v>32</v>
      </c>
    </row>
    <row r="213" spans="1:16" x14ac:dyDescent="0.25">
      <c r="A213" t="s">
        <v>397</v>
      </c>
      <c r="B213" s="2">
        <v>45972</v>
      </c>
      <c r="C213" t="s">
        <v>280</v>
      </c>
      <c r="D213" t="s">
        <v>35</v>
      </c>
      <c r="E213">
        <v>55</v>
      </c>
      <c r="F213" t="s">
        <v>28</v>
      </c>
      <c r="G213" t="s">
        <v>29</v>
      </c>
      <c r="H213" t="s">
        <v>140</v>
      </c>
      <c r="I213">
        <v>4</v>
      </c>
      <c r="J213">
        <v>199</v>
      </c>
      <c r="K213">
        <v>796</v>
      </c>
      <c r="L213">
        <v>15</v>
      </c>
      <c r="M213" t="s">
        <v>38</v>
      </c>
      <c r="N213" t="s">
        <v>47</v>
      </c>
      <c r="O213" t="s">
        <v>24</v>
      </c>
      <c r="P213" t="s">
        <v>70</v>
      </c>
    </row>
    <row r="214" spans="1:16" x14ac:dyDescent="0.25">
      <c r="A214" t="s">
        <v>398</v>
      </c>
      <c r="B214" s="2">
        <v>45753</v>
      </c>
      <c r="C214" t="s">
        <v>342</v>
      </c>
      <c r="D214" t="s">
        <v>35</v>
      </c>
      <c r="E214">
        <v>30</v>
      </c>
      <c r="F214" t="s">
        <v>51</v>
      </c>
      <c r="G214" t="s">
        <v>20</v>
      </c>
      <c r="H214" t="s">
        <v>81</v>
      </c>
      <c r="I214">
        <v>1</v>
      </c>
      <c r="J214">
        <v>1299</v>
      </c>
      <c r="K214">
        <v>1299</v>
      </c>
      <c r="L214">
        <v>0</v>
      </c>
      <c r="M214" t="s">
        <v>46</v>
      </c>
      <c r="N214" t="s">
        <v>61</v>
      </c>
      <c r="O214" t="s">
        <v>48</v>
      </c>
      <c r="P214" t="s">
        <v>57</v>
      </c>
    </row>
    <row r="215" spans="1:16" x14ac:dyDescent="0.25">
      <c r="A215" t="s">
        <v>399</v>
      </c>
      <c r="B215" s="2">
        <v>45958</v>
      </c>
      <c r="C215" t="s">
        <v>80</v>
      </c>
      <c r="D215" t="s">
        <v>35</v>
      </c>
      <c r="E215">
        <v>40</v>
      </c>
      <c r="F215" t="s">
        <v>51</v>
      </c>
      <c r="G215" t="s">
        <v>68</v>
      </c>
      <c r="H215" t="s">
        <v>69</v>
      </c>
      <c r="I215">
        <v>5</v>
      </c>
      <c r="J215">
        <v>799</v>
      </c>
      <c r="K215">
        <v>3995</v>
      </c>
      <c r="L215">
        <v>20</v>
      </c>
      <c r="M215" t="s">
        <v>53</v>
      </c>
      <c r="N215" t="s">
        <v>31</v>
      </c>
      <c r="O215" t="s">
        <v>48</v>
      </c>
      <c r="P215" t="s">
        <v>193</v>
      </c>
    </row>
    <row r="216" spans="1:16" x14ac:dyDescent="0.25">
      <c r="A216" t="s">
        <v>400</v>
      </c>
      <c r="B216" s="2">
        <v>45780</v>
      </c>
      <c r="C216" t="s">
        <v>294</v>
      </c>
      <c r="D216" t="s">
        <v>18</v>
      </c>
      <c r="E216">
        <v>29</v>
      </c>
      <c r="F216" t="s">
        <v>60</v>
      </c>
      <c r="G216" t="s">
        <v>20</v>
      </c>
      <c r="H216" t="s">
        <v>52</v>
      </c>
      <c r="I216">
        <v>3</v>
      </c>
      <c r="J216">
        <v>249</v>
      </c>
      <c r="K216">
        <v>747</v>
      </c>
      <c r="L216">
        <v>5</v>
      </c>
      <c r="M216" t="s">
        <v>85</v>
      </c>
      <c r="N216" t="s">
        <v>61</v>
      </c>
      <c r="O216" t="s">
        <v>39</v>
      </c>
      <c r="P216" t="s">
        <v>40</v>
      </c>
    </row>
    <row r="217" spans="1:16" x14ac:dyDescent="0.25">
      <c r="A217" t="s">
        <v>401</v>
      </c>
      <c r="B217" s="2">
        <v>45753</v>
      </c>
      <c r="C217" t="s">
        <v>159</v>
      </c>
      <c r="D217" t="s">
        <v>18</v>
      </c>
      <c r="E217">
        <v>53</v>
      </c>
      <c r="F217" t="s">
        <v>124</v>
      </c>
      <c r="G217" t="s">
        <v>29</v>
      </c>
      <c r="H217" t="s">
        <v>200</v>
      </c>
      <c r="I217">
        <v>4</v>
      </c>
      <c r="J217">
        <v>799</v>
      </c>
      <c r="K217">
        <v>3196</v>
      </c>
      <c r="L217">
        <v>15</v>
      </c>
      <c r="M217" t="s">
        <v>46</v>
      </c>
      <c r="N217" t="s">
        <v>47</v>
      </c>
      <c r="O217" t="s">
        <v>24</v>
      </c>
      <c r="P217" t="s">
        <v>57</v>
      </c>
    </row>
    <row r="218" spans="1:16" x14ac:dyDescent="0.25">
      <c r="A218" t="s">
        <v>402</v>
      </c>
      <c r="B218" s="2">
        <v>45662</v>
      </c>
      <c r="C218" t="s">
        <v>159</v>
      </c>
      <c r="D218" t="s">
        <v>18</v>
      </c>
      <c r="E218">
        <v>30</v>
      </c>
      <c r="F218" t="s">
        <v>28</v>
      </c>
      <c r="G218" t="s">
        <v>36</v>
      </c>
      <c r="H218" t="s">
        <v>133</v>
      </c>
      <c r="I218">
        <v>1</v>
      </c>
      <c r="J218">
        <v>599</v>
      </c>
      <c r="K218">
        <v>599</v>
      </c>
      <c r="L218">
        <v>20</v>
      </c>
      <c r="M218" t="s">
        <v>85</v>
      </c>
      <c r="N218" t="s">
        <v>61</v>
      </c>
      <c r="O218" t="s">
        <v>39</v>
      </c>
      <c r="P218" t="s">
        <v>82</v>
      </c>
    </row>
    <row r="219" spans="1:16" x14ac:dyDescent="0.25">
      <c r="A219" t="s">
        <v>403</v>
      </c>
      <c r="B219" s="2">
        <v>45700</v>
      </c>
      <c r="C219" t="s">
        <v>302</v>
      </c>
      <c r="D219" t="s">
        <v>18</v>
      </c>
      <c r="E219">
        <v>32</v>
      </c>
      <c r="F219" t="s">
        <v>43</v>
      </c>
      <c r="G219" t="s">
        <v>36</v>
      </c>
      <c r="H219" t="s">
        <v>355</v>
      </c>
      <c r="I219">
        <v>4</v>
      </c>
      <c r="J219">
        <v>299</v>
      </c>
      <c r="K219">
        <v>1196</v>
      </c>
      <c r="L219">
        <v>0</v>
      </c>
      <c r="M219" t="s">
        <v>46</v>
      </c>
      <c r="N219" t="s">
        <v>47</v>
      </c>
      <c r="O219" t="s">
        <v>48</v>
      </c>
      <c r="P219" t="s">
        <v>86</v>
      </c>
    </row>
    <row r="220" spans="1:16" x14ac:dyDescent="0.25">
      <c r="A220" t="s">
        <v>404</v>
      </c>
      <c r="B220" s="2">
        <v>45911</v>
      </c>
      <c r="C220" t="s">
        <v>97</v>
      </c>
      <c r="D220" t="s">
        <v>18</v>
      </c>
      <c r="E220">
        <v>54</v>
      </c>
      <c r="F220" t="s">
        <v>19</v>
      </c>
      <c r="G220" t="s">
        <v>29</v>
      </c>
      <c r="H220" t="s">
        <v>140</v>
      </c>
      <c r="I220">
        <v>5</v>
      </c>
      <c r="J220">
        <v>2499</v>
      </c>
      <c r="K220">
        <v>12495</v>
      </c>
      <c r="L220">
        <v>10</v>
      </c>
      <c r="M220" t="s">
        <v>85</v>
      </c>
      <c r="N220" t="s">
        <v>31</v>
      </c>
      <c r="O220" t="s">
        <v>48</v>
      </c>
      <c r="P220" t="s">
        <v>117</v>
      </c>
    </row>
    <row r="221" spans="1:16" x14ac:dyDescent="0.25">
      <c r="A221" t="s">
        <v>405</v>
      </c>
      <c r="B221" s="2">
        <v>45710</v>
      </c>
      <c r="C221" t="s">
        <v>274</v>
      </c>
      <c r="D221" t="s">
        <v>18</v>
      </c>
      <c r="E221">
        <v>37</v>
      </c>
      <c r="F221" t="s">
        <v>98</v>
      </c>
      <c r="G221" t="s">
        <v>36</v>
      </c>
      <c r="H221" t="s">
        <v>133</v>
      </c>
      <c r="I221">
        <v>2</v>
      </c>
      <c r="J221">
        <v>799</v>
      </c>
      <c r="K221">
        <v>1598</v>
      </c>
      <c r="L221">
        <v>15</v>
      </c>
      <c r="M221" t="s">
        <v>46</v>
      </c>
      <c r="N221" t="s">
        <v>31</v>
      </c>
      <c r="O221" t="s">
        <v>24</v>
      </c>
      <c r="P221" t="s">
        <v>62</v>
      </c>
    </row>
    <row r="222" spans="1:16" x14ac:dyDescent="0.25">
      <c r="A222" t="s">
        <v>406</v>
      </c>
      <c r="B222" s="2">
        <v>45959</v>
      </c>
      <c r="C222" t="s">
        <v>153</v>
      </c>
      <c r="D222" t="s">
        <v>35</v>
      </c>
      <c r="E222">
        <v>103</v>
      </c>
      <c r="F222" t="s">
        <v>28</v>
      </c>
      <c r="G222" t="s">
        <v>20</v>
      </c>
      <c r="H222" t="s">
        <v>52</v>
      </c>
      <c r="I222">
        <v>2</v>
      </c>
      <c r="J222">
        <v>2499</v>
      </c>
      <c r="K222">
        <v>4998</v>
      </c>
      <c r="L222">
        <v>5</v>
      </c>
      <c r="M222" t="s">
        <v>85</v>
      </c>
      <c r="N222" t="s">
        <v>47</v>
      </c>
      <c r="O222" t="s">
        <v>24</v>
      </c>
      <c r="P222" t="s">
        <v>54</v>
      </c>
    </row>
    <row r="223" spans="1:16" x14ac:dyDescent="0.25">
      <c r="A223" t="s">
        <v>407</v>
      </c>
      <c r="B223" s="2">
        <v>45801</v>
      </c>
      <c r="C223" t="s">
        <v>270</v>
      </c>
      <c r="D223" t="s">
        <v>18</v>
      </c>
      <c r="E223">
        <v>38</v>
      </c>
      <c r="F223" t="s">
        <v>43</v>
      </c>
      <c r="G223" t="s">
        <v>20</v>
      </c>
      <c r="H223" t="s">
        <v>81</v>
      </c>
      <c r="I223">
        <v>3</v>
      </c>
      <c r="J223">
        <v>1299</v>
      </c>
      <c r="K223">
        <v>3897</v>
      </c>
      <c r="L223">
        <v>10</v>
      </c>
      <c r="M223" t="s">
        <v>85</v>
      </c>
      <c r="N223" t="s">
        <v>31</v>
      </c>
      <c r="O223" t="s">
        <v>48</v>
      </c>
      <c r="P223" t="s">
        <v>203</v>
      </c>
    </row>
    <row r="224" spans="1:16" x14ac:dyDescent="0.25">
      <c r="A224" t="s">
        <v>408</v>
      </c>
      <c r="B224" s="2">
        <v>45993</v>
      </c>
      <c r="C224" t="s">
        <v>237</v>
      </c>
      <c r="D224" t="s">
        <v>18</v>
      </c>
      <c r="E224">
        <v>33</v>
      </c>
      <c r="F224" t="s">
        <v>124</v>
      </c>
      <c r="G224" t="s">
        <v>29</v>
      </c>
      <c r="H224" t="s">
        <v>140</v>
      </c>
      <c r="I224">
        <v>1</v>
      </c>
      <c r="J224">
        <v>499</v>
      </c>
      <c r="K224">
        <v>499</v>
      </c>
      <c r="L224">
        <v>10</v>
      </c>
      <c r="M224" t="s">
        <v>53</v>
      </c>
      <c r="N224" t="s">
        <v>61</v>
      </c>
      <c r="O224" t="s">
        <v>39</v>
      </c>
      <c r="P224" t="s">
        <v>65</v>
      </c>
    </row>
    <row r="225" spans="1:16" x14ac:dyDescent="0.25">
      <c r="A225" t="s">
        <v>409</v>
      </c>
      <c r="B225" s="2">
        <v>45889</v>
      </c>
      <c r="C225" t="s">
        <v>226</v>
      </c>
      <c r="D225" t="s">
        <v>18</v>
      </c>
      <c r="E225">
        <v>43</v>
      </c>
      <c r="F225" t="s">
        <v>43</v>
      </c>
      <c r="G225" t="s">
        <v>68</v>
      </c>
      <c r="H225" t="s">
        <v>171</v>
      </c>
      <c r="I225">
        <v>4</v>
      </c>
      <c r="J225">
        <v>799</v>
      </c>
      <c r="K225">
        <v>3196</v>
      </c>
      <c r="L225">
        <v>10</v>
      </c>
      <c r="M225" t="s">
        <v>22</v>
      </c>
      <c r="N225" t="s">
        <v>61</v>
      </c>
      <c r="O225" t="s">
        <v>39</v>
      </c>
      <c r="P225" t="s">
        <v>193</v>
      </c>
    </row>
    <row r="226" spans="1:16" x14ac:dyDescent="0.25">
      <c r="A226" t="s">
        <v>410</v>
      </c>
      <c r="B226" s="2">
        <v>45998</v>
      </c>
      <c r="C226" t="s">
        <v>145</v>
      </c>
      <c r="D226" t="s">
        <v>35</v>
      </c>
      <c r="E226">
        <v>22</v>
      </c>
      <c r="F226" t="s">
        <v>28</v>
      </c>
      <c r="G226" t="s">
        <v>20</v>
      </c>
      <c r="H226" t="s">
        <v>21</v>
      </c>
      <c r="I226">
        <v>4</v>
      </c>
      <c r="J226">
        <v>1999</v>
      </c>
      <c r="K226">
        <v>7996</v>
      </c>
      <c r="L226">
        <v>5</v>
      </c>
      <c r="M226" t="s">
        <v>22</v>
      </c>
      <c r="N226" t="s">
        <v>47</v>
      </c>
      <c r="O226" t="s">
        <v>39</v>
      </c>
      <c r="P226" t="s">
        <v>70</v>
      </c>
    </row>
    <row r="227" spans="1:16" x14ac:dyDescent="0.25">
      <c r="A227" t="s">
        <v>411</v>
      </c>
      <c r="B227" s="2">
        <v>45953</v>
      </c>
      <c r="C227" t="s">
        <v>237</v>
      </c>
      <c r="D227" t="s">
        <v>35</v>
      </c>
      <c r="E227">
        <v>39</v>
      </c>
      <c r="F227" t="s">
        <v>98</v>
      </c>
      <c r="G227" t="s">
        <v>44</v>
      </c>
      <c r="H227" t="s">
        <v>177</v>
      </c>
      <c r="I227">
        <v>3</v>
      </c>
      <c r="J227">
        <v>1299</v>
      </c>
      <c r="K227">
        <v>3897</v>
      </c>
      <c r="L227">
        <v>0</v>
      </c>
      <c r="M227" t="s">
        <v>38</v>
      </c>
      <c r="N227" t="s">
        <v>61</v>
      </c>
      <c r="O227" t="s">
        <v>24</v>
      </c>
      <c r="P227" t="s">
        <v>203</v>
      </c>
    </row>
    <row r="228" spans="1:16" x14ac:dyDescent="0.25">
      <c r="A228" t="s">
        <v>412</v>
      </c>
      <c r="B228" s="2">
        <v>45877</v>
      </c>
      <c r="C228" t="s">
        <v>280</v>
      </c>
      <c r="D228" t="s">
        <v>18</v>
      </c>
      <c r="E228">
        <v>59</v>
      </c>
      <c r="F228" t="s">
        <v>43</v>
      </c>
      <c r="G228" t="s">
        <v>29</v>
      </c>
      <c r="H228" t="s">
        <v>140</v>
      </c>
      <c r="I228">
        <v>4</v>
      </c>
      <c r="J228">
        <v>199</v>
      </c>
      <c r="K228">
        <v>796</v>
      </c>
      <c r="L228">
        <v>5</v>
      </c>
      <c r="M228" t="s">
        <v>46</v>
      </c>
      <c r="N228" t="s">
        <v>23</v>
      </c>
      <c r="O228" t="s">
        <v>48</v>
      </c>
      <c r="P228" t="s">
        <v>125</v>
      </c>
    </row>
    <row r="229" spans="1:16" x14ac:dyDescent="0.25">
      <c r="A229" t="s">
        <v>413</v>
      </c>
      <c r="B229" s="2">
        <v>45990</v>
      </c>
      <c r="C229" t="s">
        <v>414</v>
      </c>
      <c r="D229" t="s">
        <v>18</v>
      </c>
      <c r="E229">
        <v>43</v>
      </c>
      <c r="F229" t="s">
        <v>43</v>
      </c>
      <c r="G229" t="s">
        <v>44</v>
      </c>
      <c r="H229" t="s">
        <v>45</v>
      </c>
      <c r="I229">
        <v>3</v>
      </c>
      <c r="J229">
        <v>1999</v>
      </c>
      <c r="K229">
        <v>5997</v>
      </c>
      <c r="L229">
        <v>5</v>
      </c>
      <c r="M229" t="s">
        <v>22</v>
      </c>
      <c r="N229" t="s">
        <v>23</v>
      </c>
      <c r="O229" t="s">
        <v>48</v>
      </c>
      <c r="P229" t="s">
        <v>203</v>
      </c>
    </row>
    <row r="230" spans="1:16" x14ac:dyDescent="0.25">
      <c r="A230" t="s">
        <v>415</v>
      </c>
      <c r="B230" s="2">
        <v>45725</v>
      </c>
      <c r="C230" t="s">
        <v>310</v>
      </c>
      <c r="D230" t="s">
        <v>18</v>
      </c>
      <c r="E230">
        <v>51</v>
      </c>
      <c r="F230" t="s">
        <v>51</v>
      </c>
      <c r="G230" t="s">
        <v>20</v>
      </c>
      <c r="H230" t="s">
        <v>52</v>
      </c>
      <c r="I230">
        <v>4</v>
      </c>
      <c r="J230">
        <v>249</v>
      </c>
      <c r="K230">
        <v>996</v>
      </c>
      <c r="L230">
        <v>0</v>
      </c>
      <c r="M230" t="s">
        <v>38</v>
      </c>
      <c r="N230" t="s">
        <v>31</v>
      </c>
      <c r="O230" t="s">
        <v>24</v>
      </c>
      <c r="P230" t="s">
        <v>134</v>
      </c>
    </row>
    <row r="231" spans="1:16" x14ac:dyDescent="0.25">
      <c r="A231" t="s">
        <v>416</v>
      </c>
      <c r="B231" s="2">
        <v>45854</v>
      </c>
      <c r="C231" t="s">
        <v>313</v>
      </c>
      <c r="D231" t="s">
        <v>18</v>
      </c>
      <c r="E231">
        <v>24</v>
      </c>
      <c r="F231" t="s">
        <v>60</v>
      </c>
      <c r="G231" t="s">
        <v>29</v>
      </c>
      <c r="H231" t="s">
        <v>140</v>
      </c>
      <c r="I231">
        <v>1</v>
      </c>
      <c r="J231">
        <v>399</v>
      </c>
      <c r="K231">
        <v>399</v>
      </c>
      <c r="L231">
        <v>10</v>
      </c>
      <c r="M231" t="s">
        <v>46</v>
      </c>
      <c r="N231" t="s">
        <v>47</v>
      </c>
      <c r="O231" t="s">
        <v>39</v>
      </c>
      <c r="P231" t="s">
        <v>65</v>
      </c>
    </row>
    <row r="232" spans="1:16" x14ac:dyDescent="0.25">
      <c r="A232" t="s">
        <v>417</v>
      </c>
      <c r="B232" s="2">
        <v>45662</v>
      </c>
      <c r="C232" t="s">
        <v>239</v>
      </c>
      <c r="D232" t="s">
        <v>18</v>
      </c>
      <c r="E232">
        <v>46</v>
      </c>
      <c r="F232" t="s">
        <v>60</v>
      </c>
      <c r="G232" t="s">
        <v>29</v>
      </c>
      <c r="H232" t="s">
        <v>108</v>
      </c>
      <c r="I232">
        <v>5</v>
      </c>
      <c r="J232">
        <v>1499</v>
      </c>
      <c r="K232">
        <v>7495</v>
      </c>
      <c r="L232">
        <v>5</v>
      </c>
      <c r="M232" t="s">
        <v>53</v>
      </c>
      <c r="N232" t="s">
        <v>61</v>
      </c>
      <c r="O232" t="s">
        <v>48</v>
      </c>
      <c r="P232" t="s">
        <v>62</v>
      </c>
    </row>
    <row r="233" spans="1:16" x14ac:dyDescent="0.25">
      <c r="A233" t="s">
        <v>418</v>
      </c>
      <c r="B233" s="2">
        <v>45721</v>
      </c>
      <c r="C233" t="s">
        <v>310</v>
      </c>
      <c r="D233" t="s">
        <v>35</v>
      </c>
      <c r="E233">
        <v>40</v>
      </c>
      <c r="F233" t="s">
        <v>28</v>
      </c>
      <c r="G233" t="s">
        <v>29</v>
      </c>
      <c r="H233" t="s">
        <v>108</v>
      </c>
      <c r="I233">
        <v>1</v>
      </c>
      <c r="J233">
        <v>299</v>
      </c>
      <c r="K233">
        <v>299</v>
      </c>
      <c r="L233">
        <v>10</v>
      </c>
      <c r="M233" t="s">
        <v>53</v>
      </c>
      <c r="N233" t="s">
        <v>47</v>
      </c>
      <c r="O233" t="s">
        <v>39</v>
      </c>
      <c r="P233" t="s">
        <v>25</v>
      </c>
    </row>
    <row r="234" spans="1:16" x14ac:dyDescent="0.25">
      <c r="A234" t="s">
        <v>419</v>
      </c>
      <c r="B234" s="2">
        <v>45969</v>
      </c>
      <c r="C234" t="s">
        <v>116</v>
      </c>
      <c r="D234" t="s">
        <v>18</v>
      </c>
      <c r="E234">
        <v>60</v>
      </c>
      <c r="F234" t="s">
        <v>43</v>
      </c>
      <c r="G234" t="s">
        <v>29</v>
      </c>
      <c r="H234" t="s">
        <v>200</v>
      </c>
      <c r="I234">
        <v>5</v>
      </c>
      <c r="J234">
        <v>1499</v>
      </c>
      <c r="K234">
        <v>7495</v>
      </c>
      <c r="L234">
        <v>5</v>
      </c>
      <c r="M234" t="s">
        <v>85</v>
      </c>
      <c r="N234" t="s">
        <v>47</v>
      </c>
      <c r="O234" t="s">
        <v>48</v>
      </c>
      <c r="P234" t="s">
        <v>157</v>
      </c>
    </row>
    <row r="235" spans="1:16" x14ac:dyDescent="0.25">
      <c r="A235" t="s">
        <v>420</v>
      </c>
      <c r="B235" s="2">
        <v>45855</v>
      </c>
      <c r="C235" t="s">
        <v>80</v>
      </c>
      <c r="D235" t="s">
        <v>18</v>
      </c>
      <c r="E235">
        <v>49</v>
      </c>
      <c r="F235" t="s">
        <v>19</v>
      </c>
      <c r="G235" t="s">
        <v>44</v>
      </c>
      <c r="H235" t="s">
        <v>45</v>
      </c>
      <c r="I235">
        <v>2</v>
      </c>
      <c r="J235">
        <v>999</v>
      </c>
      <c r="K235">
        <v>1998</v>
      </c>
      <c r="L235">
        <v>20</v>
      </c>
      <c r="M235" t="s">
        <v>38</v>
      </c>
      <c r="N235" t="s">
        <v>31</v>
      </c>
      <c r="O235" t="s">
        <v>39</v>
      </c>
      <c r="P235" t="s">
        <v>65</v>
      </c>
    </row>
    <row r="236" spans="1:16" x14ac:dyDescent="0.25">
      <c r="A236" t="s">
        <v>421</v>
      </c>
      <c r="B236" s="2">
        <v>45937</v>
      </c>
      <c r="C236" t="s">
        <v>377</v>
      </c>
      <c r="D236" t="s">
        <v>18</v>
      </c>
      <c r="E236">
        <v>48</v>
      </c>
      <c r="F236" t="s">
        <v>19</v>
      </c>
      <c r="G236" t="s">
        <v>36</v>
      </c>
      <c r="H236" t="s">
        <v>133</v>
      </c>
      <c r="I236">
        <v>4</v>
      </c>
      <c r="J236">
        <v>599</v>
      </c>
      <c r="K236">
        <v>2396</v>
      </c>
      <c r="L236">
        <v>0</v>
      </c>
      <c r="M236" t="s">
        <v>85</v>
      </c>
      <c r="N236" t="s">
        <v>23</v>
      </c>
      <c r="O236" t="s">
        <v>24</v>
      </c>
      <c r="P236" t="s">
        <v>70</v>
      </c>
    </row>
    <row r="237" spans="1:16" x14ac:dyDescent="0.25">
      <c r="A237" t="s">
        <v>422</v>
      </c>
      <c r="B237" s="2">
        <v>45917</v>
      </c>
      <c r="C237" t="s">
        <v>116</v>
      </c>
      <c r="D237" t="s">
        <v>35</v>
      </c>
      <c r="E237">
        <v>45</v>
      </c>
      <c r="F237" t="s">
        <v>28</v>
      </c>
      <c r="G237" t="s">
        <v>29</v>
      </c>
      <c r="H237" t="s">
        <v>108</v>
      </c>
      <c r="I237">
        <v>1</v>
      </c>
      <c r="J237">
        <v>799</v>
      </c>
      <c r="K237">
        <v>799</v>
      </c>
      <c r="L237">
        <v>0</v>
      </c>
      <c r="M237" t="s">
        <v>85</v>
      </c>
      <c r="N237" t="s">
        <v>47</v>
      </c>
      <c r="O237" t="s">
        <v>39</v>
      </c>
      <c r="P237" t="s">
        <v>25</v>
      </c>
    </row>
    <row r="238" spans="1:16" x14ac:dyDescent="0.25">
      <c r="A238" t="s">
        <v>423</v>
      </c>
      <c r="B238" s="2">
        <v>45737</v>
      </c>
      <c r="C238" t="s">
        <v>56</v>
      </c>
      <c r="D238" t="s">
        <v>35</v>
      </c>
      <c r="E238">
        <v>43</v>
      </c>
      <c r="F238" t="s">
        <v>19</v>
      </c>
      <c r="G238" t="s">
        <v>44</v>
      </c>
      <c r="H238" t="s">
        <v>45</v>
      </c>
      <c r="I238">
        <v>5</v>
      </c>
      <c r="J238">
        <v>399</v>
      </c>
      <c r="K238">
        <v>1995</v>
      </c>
      <c r="L238">
        <v>10</v>
      </c>
      <c r="M238" t="s">
        <v>22</v>
      </c>
      <c r="N238" t="s">
        <v>47</v>
      </c>
      <c r="O238" t="s">
        <v>24</v>
      </c>
      <c r="P238" t="s">
        <v>89</v>
      </c>
    </row>
    <row r="239" spans="1:16" x14ac:dyDescent="0.25">
      <c r="A239" t="s">
        <v>424</v>
      </c>
      <c r="B239" s="2">
        <v>45971</v>
      </c>
      <c r="C239" t="s">
        <v>221</v>
      </c>
      <c r="D239" t="s">
        <v>18</v>
      </c>
      <c r="E239">
        <v>37</v>
      </c>
      <c r="F239" t="s">
        <v>124</v>
      </c>
      <c r="G239" t="s">
        <v>20</v>
      </c>
      <c r="H239" t="s">
        <v>120</v>
      </c>
      <c r="I239">
        <v>1</v>
      </c>
      <c r="J239">
        <v>999</v>
      </c>
      <c r="K239">
        <v>999</v>
      </c>
      <c r="L239">
        <v>0</v>
      </c>
      <c r="M239" t="s">
        <v>38</v>
      </c>
      <c r="N239" t="s">
        <v>47</v>
      </c>
      <c r="O239" t="s">
        <v>48</v>
      </c>
      <c r="P239" t="s">
        <v>121</v>
      </c>
    </row>
    <row r="240" spans="1:16" x14ac:dyDescent="0.25">
      <c r="A240" t="s">
        <v>425</v>
      </c>
      <c r="B240" s="2">
        <v>45922</v>
      </c>
      <c r="C240" t="s">
        <v>147</v>
      </c>
      <c r="D240" t="s">
        <v>35</v>
      </c>
      <c r="E240">
        <v>28</v>
      </c>
      <c r="F240" t="s">
        <v>60</v>
      </c>
      <c r="G240" t="s">
        <v>29</v>
      </c>
      <c r="H240" t="s">
        <v>140</v>
      </c>
      <c r="I240">
        <v>3</v>
      </c>
      <c r="J240">
        <v>1299</v>
      </c>
      <c r="K240">
        <v>3897</v>
      </c>
      <c r="L240">
        <v>5</v>
      </c>
      <c r="M240" t="s">
        <v>46</v>
      </c>
      <c r="N240" t="s">
        <v>23</v>
      </c>
      <c r="O240" t="s">
        <v>24</v>
      </c>
      <c r="P240" t="s">
        <v>57</v>
      </c>
    </row>
    <row r="241" spans="1:16" x14ac:dyDescent="0.25">
      <c r="A241" t="s">
        <v>426</v>
      </c>
      <c r="B241" s="2">
        <v>45792</v>
      </c>
      <c r="C241" t="s">
        <v>299</v>
      </c>
      <c r="D241" t="s">
        <v>18</v>
      </c>
      <c r="E241">
        <v>49</v>
      </c>
      <c r="F241" t="s">
        <v>51</v>
      </c>
      <c r="G241" t="s">
        <v>36</v>
      </c>
      <c r="H241" t="s">
        <v>37</v>
      </c>
      <c r="I241">
        <v>5</v>
      </c>
      <c r="J241">
        <v>249</v>
      </c>
      <c r="K241">
        <v>1245</v>
      </c>
      <c r="L241">
        <v>20</v>
      </c>
      <c r="M241" t="s">
        <v>46</v>
      </c>
      <c r="N241" t="s">
        <v>23</v>
      </c>
      <c r="O241" t="s">
        <v>39</v>
      </c>
      <c r="P241" t="s">
        <v>193</v>
      </c>
    </row>
    <row r="242" spans="1:16" x14ac:dyDescent="0.25">
      <c r="A242" t="s">
        <v>427</v>
      </c>
      <c r="B242" s="2">
        <v>45710</v>
      </c>
      <c r="C242" t="s">
        <v>132</v>
      </c>
      <c r="D242" t="s">
        <v>18</v>
      </c>
      <c r="E242">
        <v>32</v>
      </c>
      <c r="F242" t="s">
        <v>98</v>
      </c>
      <c r="G242" t="s">
        <v>29</v>
      </c>
      <c r="H242" t="s">
        <v>64</v>
      </c>
      <c r="I242">
        <v>2</v>
      </c>
      <c r="J242">
        <v>499</v>
      </c>
      <c r="K242">
        <v>998</v>
      </c>
      <c r="L242">
        <v>0</v>
      </c>
      <c r="M242" t="s">
        <v>38</v>
      </c>
      <c r="N242" t="s">
        <v>47</v>
      </c>
      <c r="O242" t="s">
        <v>24</v>
      </c>
      <c r="P242" t="s">
        <v>82</v>
      </c>
    </row>
    <row r="243" spans="1:16" x14ac:dyDescent="0.25">
      <c r="A243" t="s">
        <v>428</v>
      </c>
      <c r="B243" s="2">
        <v>45676</v>
      </c>
      <c r="C243" t="s">
        <v>97</v>
      </c>
      <c r="D243" t="s">
        <v>35</v>
      </c>
      <c r="E243">
        <v>32</v>
      </c>
      <c r="F243" t="s">
        <v>60</v>
      </c>
      <c r="G243" t="s">
        <v>44</v>
      </c>
      <c r="H243" t="s">
        <v>99</v>
      </c>
      <c r="I243">
        <v>2</v>
      </c>
      <c r="J243">
        <v>299</v>
      </c>
      <c r="K243">
        <v>598</v>
      </c>
      <c r="L243">
        <v>5</v>
      </c>
      <c r="M243" t="s">
        <v>22</v>
      </c>
      <c r="N243" t="s">
        <v>31</v>
      </c>
      <c r="O243" t="s">
        <v>39</v>
      </c>
      <c r="P243" t="s">
        <v>25</v>
      </c>
    </row>
    <row r="244" spans="1:16" x14ac:dyDescent="0.25">
      <c r="A244" t="s">
        <v>429</v>
      </c>
      <c r="B244" s="2">
        <v>46002</v>
      </c>
      <c r="C244" t="s">
        <v>250</v>
      </c>
      <c r="D244" t="s">
        <v>18</v>
      </c>
      <c r="E244">
        <v>32</v>
      </c>
      <c r="F244" t="s">
        <v>98</v>
      </c>
      <c r="G244" t="s">
        <v>68</v>
      </c>
      <c r="H244" t="s">
        <v>171</v>
      </c>
      <c r="I244">
        <v>1</v>
      </c>
      <c r="J244">
        <v>1299</v>
      </c>
      <c r="K244">
        <v>1299</v>
      </c>
      <c r="L244">
        <v>15</v>
      </c>
      <c r="M244" t="s">
        <v>38</v>
      </c>
      <c r="N244" t="s">
        <v>61</v>
      </c>
      <c r="O244" t="s">
        <v>39</v>
      </c>
      <c r="P244" t="s">
        <v>86</v>
      </c>
    </row>
    <row r="245" spans="1:16" x14ac:dyDescent="0.25">
      <c r="A245" t="s">
        <v>430</v>
      </c>
      <c r="B245" s="2">
        <v>45662</v>
      </c>
      <c r="C245" t="s">
        <v>123</v>
      </c>
      <c r="D245" t="s">
        <v>18</v>
      </c>
      <c r="E245">
        <v>36</v>
      </c>
      <c r="F245" t="s">
        <v>43</v>
      </c>
      <c r="G245" t="s">
        <v>44</v>
      </c>
      <c r="H245" t="s">
        <v>45</v>
      </c>
      <c r="I245">
        <v>5</v>
      </c>
      <c r="J245">
        <v>999</v>
      </c>
      <c r="K245">
        <v>4995</v>
      </c>
      <c r="L245">
        <v>20</v>
      </c>
      <c r="M245" t="s">
        <v>53</v>
      </c>
      <c r="N245" t="s">
        <v>61</v>
      </c>
      <c r="O245" t="s">
        <v>39</v>
      </c>
      <c r="P245" t="s">
        <v>193</v>
      </c>
    </row>
    <row r="246" spans="1:16" x14ac:dyDescent="0.25">
      <c r="A246" t="s">
        <v>431</v>
      </c>
      <c r="B246" s="2">
        <v>45735</v>
      </c>
      <c r="C246" t="s">
        <v>432</v>
      </c>
      <c r="D246" t="s">
        <v>35</v>
      </c>
      <c r="E246">
        <v>19</v>
      </c>
      <c r="F246" t="s">
        <v>76</v>
      </c>
      <c r="G246" t="s">
        <v>36</v>
      </c>
      <c r="H246" t="s">
        <v>102</v>
      </c>
      <c r="I246">
        <v>5</v>
      </c>
      <c r="J246">
        <v>399</v>
      </c>
      <c r="K246">
        <v>1995</v>
      </c>
      <c r="L246">
        <v>20</v>
      </c>
      <c r="M246" t="s">
        <v>46</v>
      </c>
      <c r="N246" t="s">
        <v>23</v>
      </c>
      <c r="O246" t="s">
        <v>39</v>
      </c>
      <c r="P246" t="s">
        <v>121</v>
      </c>
    </row>
    <row r="247" spans="1:16" x14ac:dyDescent="0.25">
      <c r="A247" t="s">
        <v>433</v>
      </c>
      <c r="B247" s="2">
        <v>45929</v>
      </c>
      <c r="C247" t="s">
        <v>202</v>
      </c>
      <c r="D247" t="s">
        <v>35</v>
      </c>
      <c r="E247">
        <v>49</v>
      </c>
      <c r="F247" t="s">
        <v>98</v>
      </c>
      <c r="G247" t="s">
        <v>36</v>
      </c>
      <c r="H247" t="s">
        <v>37</v>
      </c>
      <c r="I247">
        <v>1</v>
      </c>
      <c r="J247">
        <v>399</v>
      </c>
      <c r="K247">
        <v>399</v>
      </c>
      <c r="L247">
        <v>5</v>
      </c>
      <c r="M247" t="s">
        <v>46</v>
      </c>
      <c r="N247" t="s">
        <v>23</v>
      </c>
      <c r="O247" t="s">
        <v>24</v>
      </c>
      <c r="P247" t="s">
        <v>89</v>
      </c>
    </row>
    <row r="248" spans="1:16" x14ac:dyDescent="0.25">
      <c r="A248" t="s">
        <v>434</v>
      </c>
      <c r="B248" s="2">
        <v>45701</v>
      </c>
      <c r="C248" t="s">
        <v>110</v>
      </c>
      <c r="D248" t="s">
        <v>18</v>
      </c>
      <c r="E248">
        <v>50</v>
      </c>
      <c r="F248" t="s">
        <v>124</v>
      </c>
      <c r="G248" t="s">
        <v>68</v>
      </c>
      <c r="H248" t="s">
        <v>69</v>
      </c>
      <c r="I248">
        <v>3</v>
      </c>
      <c r="J248">
        <v>999</v>
      </c>
      <c r="K248">
        <v>2997</v>
      </c>
      <c r="L248">
        <v>15</v>
      </c>
      <c r="M248" t="s">
        <v>38</v>
      </c>
      <c r="N248" t="s">
        <v>23</v>
      </c>
      <c r="O248" t="s">
        <v>39</v>
      </c>
      <c r="P248" t="s">
        <v>65</v>
      </c>
    </row>
    <row r="249" spans="1:16" x14ac:dyDescent="0.25">
      <c r="A249" t="s">
        <v>435</v>
      </c>
      <c r="B249" s="2">
        <v>45859</v>
      </c>
      <c r="C249" t="s">
        <v>145</v>
      </c>
      <c r="D249" t="s">
        <v>35</v>
      </c>
      <c r="E249">
        <v>38</v>
      </c>
      <c r="F249" t="s">
        <v>51</v>
      </c>
      <c r="G249" t="s">
        <v>29</v>
      </c>
      <c r="H249" t="s">
        <v>64</v>
      </c>
      <c r="I249">
        <v>3</v>
      </c>
      <c r="J249">
        <v>599</v>
      </c>
      <c r="K249">
        <v>1797</v>
      </c>
      <c r="L249">
        <v>10</v>
      </c>
      <c r="M249" t="s">
        <v>53</v>
      </c>
      <c r="N249" t="s">
        <v>23</v>
      </c>
      <c r="O249" t="s">
        <v>24</v>
      </c>
      <c r="P249" t="s">
        <v>65</v>
      </c>
    </row>
    <row r="250" spans="1:16" x14ac:dyDescent="0.25">
      <c r="A250" t="s">
        <v>436</v>
      </c>
      <c r="B250" s="2">
        <v>45742</v>
      </c>
      <c r="C250" t="s">
        <v>186</v>
      </c>
      <c r="D250" t="s">
        <v>35</v>
      </c>
      <c r="E250">
        <v>38</v>
      </c>
      <c r="F250" t="s">
        <v>28</v>
      </c>
      <c r="G250" t="s">
        <v>68</v>
      </c>
      <c r="H250" t="s">
        <v>73</v>
      </c>
      <c r="I250">
        <v>2</v>
      </c>
      <c r="J250">
        <v>249</v>
      </c>
      <c r="K250">
        <v>498</v>
      </c>
      <c r="L250">
        <v>0</v>
      </c>
      <c r="M250" t="s">
        <v>85</v>
      </c>
      <c r="N250" t="s">
        <v>31</v>
      </c>
      <c r="O250" t="s">
        <v>24</v>
      </c>
      <c r="P250" t="s">
        <v>62</v>
      </c>
    </row>
    <row r="251" spans="1:16" x14ac:dyDescent="0.25">
      <c r="A251" t="s">
        <v>437</v>
      </c>
      <c r="B251" s="2">
        <v>45704</v>
      </c>
      <c r="C251" t="s">
        <v>218</v>
      </c>
      <c r="D251" t="s">
        <v>35</v>
      </c>
      <c r="E251">
        <v>56</v>
      </c>
      <c r="F251" t="s">
        <v>98</v>
      </c>
      <c r="G251" t="s">
        <v>44</v>
      </c>
      <c r="H251" t="s">
        <v>99</v>
      </c>
      <c r="I251">
        <v>3</v>
      </c>
      <c r="J251">
        <v>249</v>
      </c>
      <c r="K251">
        <v>747</v>
      </c>
      <c r="L251">
        <v>5</v>
      </c>
      <c r="M251" t="s">
        <v>46</v>
      </c>
      <c r="N251" t="s">
        <v>47</v>
      </c>
      <c r="O251" t="s">
        <v>24</v>
      </c>
      <c r="P251" t="s">
        <v>89</v>
      </c>
    </row>
    <row r="252" spans="1:16" x14ac:dyDescent="0.25">
      <c r="A252" t="s">
        <v>438</v>
      </c>
      <c r="B252" s="2">
        <v>46004</v>
      </c>
      <c r="C252" t="s">
        <v>360</v>
      </c>
      <c r="D252" t="s">
        <v>35</v>
      </c>
      <c r="E252">
        <v>29</v>
      </c>
      <c r="F252" t="s">
        <v>98</v>
      </c>
      <c r="G252" t="s">
        <v>44</v>
      </c>
      <c r="H252" t="s">
        <v>99</v>
      </c>
      <c r="I252">
        <v>5</v>
      </c>
      <c r="J252">
        <v>199</v>
      </c>
      <c r="K252">
        <v>995</v>
      </c>
      <c r="L252">
        <v>15</v>
      </c>
      <c r="M252" t="s">
        <v>22</v>
      </c>
      <c r="N252" t="s">
        <v>47</v>
      </c>
      <c r="O252" t="s">
        <v>24</v>
      </c>
      <c r="P252" t="s">
        <v>62</v>
      </c>
    </row>
    <row r="253" spans="1:16" x14ac:dyDescent="0.25">
      <c r="A253" t="s">
        <v>439</v>
      </c>
      <c r="B253" s="2">
        <v>45689</v>
      </c>
      <c r="C253" t="s">
        <v>209</v>
      </c>
      <c r="D253" t="s">
        <v>18</v>
      </c>
      <c r="E253">
        <v>26</v>
      </c>
      <c r="F253" t="s">
        <v>76</v>
      </c>
      <c r="G253" t="s">
        <v>20</v>
      </c>
      <c r="H253" t="s">
        <v>52</v>
      </c>
      <c r="I253">
        <v>1</v>
      </c>
      <c r="J253">
        <v>199</v>
      </c>
      <c r="K253">
        <v>199</v>
      </c>
      <c r="L253">
        <v>15</v>
      </c>
      <c r="M253" t="s">
        <v>46</v>
      </c>
      <c r="N253" t="s">
        <v>23</v>
      </c>
      <c r="O253" t="s">
        <v>48</v>
      </c>
      <c r="P253" t="s">
        <v>193</v>
      </c>
    </row>
    <row r="254" spans="1:16" x14ac:dyDescent="0.25">
      <c r="A254" t="s">
        <v>440</v>
      </c>
      <c r="B254" s="2">
        <v>45759</v>
      </c>
      <c r="C254" t="s">
        <v>229</v>
      </c>
      <c r="D254" t="s">
        <v>35</v>
      </c>
      <c r="E254">
        <v>26</v>
      </c>
      <c r="F254" t="s">
        <v>19</v>
      </c>
      <c r="G254" t="s">
        <v>44</v>
      </c>
      <c r="H254" t="s">
        <v>45</v>
      </c>
      <c r="I254">
        <v>1</v>
      </c>
      <c r="J254">
        <v>249</v>
      </c>
      <c r="K254">
        <v>249</v>
      </c>
      <c r="L254">
        <v>10</v>
      </c>
      <c r="M254" t="s">
        <v>38</v>
      </c>
      <c r="N254" t="s">
        <v>23</v>
      </c>
      <c r="O254" t="s">
        <v>39</v>
      </c>
      <c r="P254" t="s">
        <v>117</v>
      </c>
    </row>
    <row r="255" spans="1:16" x14ac:dyDescent="0.25">
      <c r="A255" t="s">
        <v>441</v>
      </c>
      <c r="B255" s="2">
        <v>45860</v>
      </c>
      <c r="C255" t="s">
        <v>288</v>
      </c>
      <c r="D255" t="s">
        <v>18</v>
      </c>
      <c r="E255">
        <v>42</v>
      </c>
      <c r="F255" t="s">
        <v>28</v>
      </c>
      <c r="G255" t="s">
        <v>29</v>
      </c>
      <c r="H255" t="s">
        <v>200</v>
      </c>
      <c r="I255">
        <v>4</v>
      </c>
      <c r="J255">
        <v>2499</v>
      </c>
      <c r="K255">
        <v>9996</v>
      </c>
      <c r="L255">
        <v>5</v>
      </c>
      <c r="M255" t="s">
        <v>46</v>
      </c>
      <c r="N255" t="s">
        <v>47</v>
      </c>
      <c r="O255" t="s">
        <v>24</v>
      </c>
      <c r="P255" t="s">
        <v>70</v>
      </c>
    </row>
    <row r="256" spans="1:16" x14ac:dyDescent="0.25">
      <c r="A256" t="s">
        <v>442</v>
      </c>
      <c r="B256" s="2">
        <v>45972</v>
      </c>
      <c r="C256" t="s">
        <v>142</v>
      </c>
      <c r="D256" t="s">
        <v>18</v>
      </c>
      <c r="E256">
        <v>59</v>
      </c>
      <c r="F256" t="s">
        <v>43</v>
      </c>
      <c r="G256" t="s">
        <v>44</v>
      </c>
      <c r="H256" t="s">
        <v>99</v>
      </c>
      <c r="I256">
        <v>2</v>
      </c>
      <c r="J256">
        <v>199</v>
      </c>
      <c r="K256">
        <v>398</v>
      </c>
      <c r="L256">
        <v>15</v>
      </c>
      <c r="M256" t="s">
        <v>22</v>
      </c>
      <c r="N256" t="s">
        <v>61</v>
      </c>
      <c r="O256" t="s">
        <v>24</v>
      </c>
      <c r="P256" t="s">
        <v>25</v>
      </c>
    </row>
    <row r="257" spans="1:16" x14ac:dyDescent="0.25">
      <c r="A257" t="s">
        <v>443</v>
      </c>
      <c r="B257" s="2">
        <v>45760</v>
      </c>
      <c r="C257" t="s">
        <v>229</v>
      </c>
      <c r="D257" t="s">
        <v>18</v>
      </c>
      <c r="E257">
        <v>58</v>
      </c>
      <c r="F257" t="s">
        <v>98</v>
      </c>
      <c r="G257" t="s">
        <v>44</v>
      </c>
      <c r="H257" t="s">
        <v>99</v>
      </c>
      <c r="I257">
        <v>2</v>
      </c>
      <c r="J257">
        <v>799</v>
      </c>
      <c r="K257">
        <v>1598</v>
      </c>
      <c r="L257">
        <v>15</v>
      </c>
      <c r="M257" t="s">
        <v>46</v>
      </c>
      <c r="N257" t="s">
        <v>61</v>
      </c>
      <c r="O257" t="s">
        <v>48</v>
      </c>
      <c r="P257" t="s">
        <v>82</v>
      </c>
    </row>
    <row r="258" spans="1:16" x14ac:dyDescent="0.25">
      <c r="A258" t="s">
        <v>444</v>
      </c>
      <c r="B258" s="2">
        <v>45856</v>
      </c>
      <c r="C258" t="s">
        <v>59</v>
      </c>
      <c r="D258" t="s">
        <v>18</v>
      </c>
      <c r="E258">
        <v>19</v>
      </c>
      <c r="F258" t="s">
        <v>60</v>
      </c>
      <c r="G258" t="s">
        <v>44</v>
      </c>
      <c r="H258" t="s">
        <v>151</v>
      </c>
      <c r="I258">
        <v>5</v>
      </c>
      <c r="J258">
        <v>599</v>
      </c>
      <c r="K258">
        <v>2995</v>
      </c>
      <c r="L258">
        <v>20</v>
      </c>
      <c r="M258" t="s">
        <v>53</v>
      </c>
      <c r="N258" t="s">
        <v>23</v>
      </c>
      <c r="O258" t="s">
        <v>39</v>
      </c>
      <c r="P258" t="s">
        <v>117</v>
      </c>
    </row>
    <row r="259" spans="1:16" x14ac:dyDescent="0.25">
      <c r="A259" t="s">
        <v>445</v>
      </c>
      <c r="B259" s="2">
        <v>45777</v>
      </c>
      <c r="C259" t="s">
        <v>218</v>
      </c>
      <c r="D259" t="s">
        <v>18</v>
      </c>
      <c r="E259">
        <v>33</v>
      </c>
      <c r="F259" t="s">
        <v>76</v>
      </c>
      <c r="G259" t="s">
        <v>36</v>
      </c>
      <c r="H259" t="s">
        <v>133</v>
      </c>
      <c r="I259">
        <v>3</v>
      </c>
      <c r="J259">
        <v>1499</v>
      </c>
      <c r="K259">
        <v>4497</v>
      </c>
      <c r="L259">
        <v>10</v>
      </c>
      <c r="M259" t="s">
        <v>85</v>
      </c>
      <c r="N259" t="s">
        <v>23</v>
      </c>
      <c r="O259" t="s">
        <v>24</v>
      </c>
      <c r="P259" t="s">
        <v>193</v>
      </c>
    </row>
    <row r="260" spans="1:16" x14ac:dyDescent="0.25">
      <c r="A260" t="s">
        <v>446</v>
      </c>
      <c r="B260" s="2">
        <v>45779</v>
      </c>
      <c r="C260" t="s">
        <v>310</v>
      </c>
      <c r="D260" t="s">
        <v>35</v>
      </c>
      <c r="E260">
        <v>40</v>
      </c>
      <c r="F260" t="s">
        <v>98</v>
      </c>
      <c r="G260" t="s">
        <v>36</v>
      </c>
      <c r="H260" t="s">
        <v>37</v>
      </c>
      <c r="I260">
        <v>2</v>
      </c>
      <c r="J260">
        <v>299</v>
      </c>
      <c r="K260">
        <v>598</v>
      </c>
      <c r="L260">
        <v>10</v>
      </c>
      <c r="M260" t="s">
        <v>85</v>
      </c>
      <c r="N260" t="s">
        <v>47</v>
      </c>
      <c r="O260" t="s">
        <v>48</v>
      </c>
      <c r="P260" t="s">
        <v>54</v>
      </c>
    </row>
    <row r="261" spans="1:16" x14ac:dyDescent="0.25">
      <c r="A261" t="s">
        <v>447</v>
      </c>
      <c r="B261" s="2">
        <v>45909</v>
      </c>
      <c r="C261" t="s">
        <v>91</v>
      </c>
      <c r="D261" t="s">
        <v>18</v>
      </c>
      <c r="E261">
        <v>21</v>
      </c>
      <c r="F261" t="s">
        <v>76</v>
      </c>
      <c r="G261" t="s">
        <v>36</v>
      </c>
      <c r="H261" t="s">
        <v>133</v>
      </c>
      <c r="I261">
        <v>3</v>
      </c>
      <c r="J261">
        <v>299</v>
      </c>
      <c r="K261">
        <v>897</v>
      </c>
      <c r="L261">
        <v>20</v>
      </c>
      <c r="M261" t="s">
        <v>53</v>
      </c>
      <c r="N261" t="s">
        <v>23</v>
      </c>
      <c r="O261" t="s">
        <v>48</v>
      </c>
      <c r="P261" t="s">
        <v>82</v>
      </c>
    </row>
    <row r="262" spans="1:16" x14ac:dyDescent="0.25">
      <c r="A262" t="s">
        <v>448</v>
      </c>
      <c r="B262" s="2">
        <v>45724</v>
      </c>
      <c r="C262" t="s">
        <v>213</v>
      </c>
      <c r="D262" t="s">
        <v>18</v>
      </c>
      <c r="E262">
        <v>38</v>
      </c>
      <c r="F262" t="s">
        <v>98</v>
      </c>
      <c r="G262" t="s">
        <v>20</v>
      </c>
      <c r="H262" t="s">
        <v>77</v>
      </c>
      <c r="I262">
        <v>5</v>
      </c>
      <c r="J262">
        <v>399</v>
      </c>
      <c r="K262">
        <v>1995</v>
      </c>
      <c r="L262">
        <v>0</v>
      </c>
      <c r="M262" t="s">
        <v>53</v>
      </c>
      <c r="N262" t="s">
        <v>47</v>
      </c>
      <c r="O262" t="s">
        <v>24</v>
      </c>
      <c r="P262" t="s">
        <v>78</v>
      </c>
    </row>
    <row r="263" spans="1:16" x14ac:dyDescent="0.25">
      <c r="A263" t="s">
        <v>449</v>
      </c>
      <c r="B263" s="2">
        <v>45997</v>
      </c>
      <c r="C263" t="s">
        <v>388</v>
      </c>
      <c r="D263" t="s">
        <v>18</v>
      </c>
      <c r="E263">
        <v>39</v>
      </c>
      <c r="F263" t="s">
        <v>43</v>
      </c>
      <c r="G263" t="s">
        <v>44</v>
      </c>
      <c r="H263" t="s">
        <v>45</v>
      </c>
      <c r="I263">
        <v>3</v>
      </c>
      <c r="J263">
        <v>2499</v>
      </c>
      <c r="K263">
        <v>7497</v>
      </c>
      <c r="L263">
        <v>10</v>
      </c>
      <c r="M263" t="s">
        <v>53</v>
      </c>
      <c r="N263" t="s">
        <v>47</v>
      </c>
      <c r="O263" t="s">
        <v>48</v>
      </c>
      <c r="P263" t="s">
        <v>134</v>
      </c>
    </row>
    <row r="264" spans="1:16" x14ac:dyDescent="0.25">
      <c r="A264" t="s">
        <v>450</v>
      </c>
      <c r="B264" s="2">
        <v>45945</v>
      </c>
      <c r="C264" t="s">
        <v>153</v>
      </c>
      <c r="D264" t="s">
        <v>35</v>
      </c>
      <c r="E264">
        <v>32</v>
      </c>
      <c r="F264" t="s">
        <v>124</v>
      </c>
      <c r="G264" t="s">
        <v>36</v>
      </c>
      <c r="H264" t="s">
        <v>37</v>
      </c>
      <c r="I264">
        <v>2</v>
      </c>
      <c r="J264">
        <v>2499</v>
      </c>
      <c r="K264">
        <v>4998</v>
      </c>
      <c r="L264">
        <v>15</v>
      </c>
      <c r="M264" t="s">
        <v>46</v>
      </c>
      <c r="N264" t="s">
        <v>31</v>
      </c>
      <c r="O264" t="s">
        <v>24</v>
      </c>
      <c r="P264" t="s">
        <v>32</v>
      </c>
    </row>
    <row r="265" spans="1:16" x14ac:dyDescent="0.25">
      <c r="A265" t="s">
        <v>451</v>
      </c>
      <c r="B265" s="2">
        <v>45674</v>
      </c>
      <c r="C265" t="s">
        <v>452</v>
      </c>
      <c r="D265" t="s">
        <v>35</v>
      </c>
      <c r="E265">
        <v>57</v>
      </c>
      <c r="F265" t="s">
        <v>76</v>
      </c>
      <c r="G265" t="s">
        <v>20</v>
      </c>
      <c r="H265" t="s">
        <v>81</v>
      </c>
      <c r="I265">
        <v>4</v>
      </c>
      <c r="J265">
        <v>1499</v>
      </c>
      <c r="K265">
        <v>5996</v>
      </c>
      <c r="L265">
        <v>20</v>
      </c>
      <c r="M265" t="s">
        <v>38</v>
      </c>
      <c r="N265" t="s">
        <v>61</v>
      </c>
      <c r="O265" t="s">
        <v>24</v>
      </c>
      <c r="P265" t="s">
        <v>57</v>
      </c>
    </row>
    <row r="266" spans="1:16" x14ac:dyDescent="0.25">
      <c r="A266" t="s">
        <v>453</v>
      </c>
      <c r="B266" s="2">
        <v>45743</v>
      </c>
      <c r="C266" t="s">
        <v>261</v>
      </c>
      <c r="D266" t="s">
        <v>18</v>
      </c>
      <c r="E266">
        <v>60</v>
      </c>
      <c r="F266" t="s">
        <v>60</v>
      </c>
      <c r="G266" t="s">
        <v>20</v>
      </c>
      <c r="H266" t="s">
        <v>52</v>
      </c>
      <c r="I266">
        <v>3</v>
      </c>
      <c r="J266">
        <v>599</v>
      </c>
      <c r="K266">
        <v>1797</v>
      </c>
      <c r="L266">
        <v>15</v>
      </c>
      <c r="M266" t="s">
        <v>38</v>
      </c>
      <c r="N266" t="s">
        <v>31</v>
      </c>
      <c r="O266" t="s">
        <v>24</v>
      </c>
      <c r="P266" t="s">
        <v>89</v>
      </c>
    </row>
    <row r="267" spans="1:16" x14ac:dyDescent="0.25">
      <c r="A267" t="s">
        <v>454</v>
      </c>
      <c r="B267" s="2">
        <v>45658</v>
      </c>
      <c r="C267" t="s">
        <v>250</v>
      </c>
      <c r="D267" t="s">
        <v>35</v>
      </c>
      <c r="E267">
        <v>46</v>
      </c>
      <c r="F267" t="s">
        <v>28</v>
      </c>
      <c r="G267" t="s">
        <v>20</v>
      </c>
      <c r="H267" t="s">
        <v>77</v>
      </c>
      <c r="I267">
        <v>3</v>
      </c>
      <c r="J267">
        <v>249</v>
      </c>
      <c r="K267">
        <v>747</v>
      </c>
      <c r="L267">
        <v>5</v>
      </c>
      <c r="M267" t="s">
        <v>22</v>
      </c>
      <c r="N267" t="s">
        <v>61</v>
      </c>
      <c r="O267" t="s">
        <v>39</v>
      </c>
      <c r="P267" t="s">
        <v>125</v>
      </c>
    </row>
    <row r="268" spans="1:16" x14ac:dyDescent="0.25">
      <c r="A268" t="s">
        <v>455</v>
      </c>
      <c r="B268" s="2">
        <v>45953</v>
      </c>
      <c r="C268" t="s">
        <v>164</v>
      </c>
      <c r="D268" t="s">
        <v>18</v>
      </c>
      <c r="E268">
        <v>28</v>
      </c>
      <c r="F268" t="s">
        <v>51</v>
      </c>
      <c r="G268" t="s">
        <v>68</v>
      </c>
      <c r="H268" t="s">
        <v>69</v>
      </c>
      <c r="I268">
        <v>1</v>
      </c>
      <c r="J268">
        <v>999</v>
      </c>
      <c r="K268">
        <v>999</v>
      </c>
      <c r="L268">
        <v>0</v>
      </c>
      <c r="M268" t="s">
        <v>38</v>
      </c>
      <c r="N268" t="s">
        <v>31</v>
      </c>
      <c r="O268" t="s">
        <v>24</v>
      </c>
      <c r="P268" t="s">
        <v>57</v>
      </c>
    </row>
    <row r="269" spans="1:16" x14ac:dyDescent="0.25">
      <c r="A269" t="s">
        <v>456</v>
      </c>
      <c r="B269" s="2">
        <v>45745</v>
      </c>
      <c r="C269" t="s">
        <v>42</v>
      </c>
      <c r="D269" t="s">
        <v>18</v>
      </c>
      <c r="E269">
        <v>22</v>
      </c>
      <c r="F269" t="s">
        <v>19</v>
      </c>
      <c r="G269" t="s">
        <v>44</v>
      </c>
      <c r="H269" t="s">
        <v>45</v>
      </c>
      <c r="I269">
        <v>1</v>
      </c>
      <c r="J269">
        <v>599</v>
      </c>
      <c r="K269">
        <v>599</v>
      </c>
      <c r="L269">
        <v>10</v>
      </c>
      <c r="M269" t="s">
        <v>85</v>
      </c>
      <c r="N269" t="s">
        <v>61</v>
      </c>
      <c r="O269" t="s">
        <v>48</v>
      </c>
      <c r="P269" t="s">
        <v>121</v>
      </c>
    </row>
    <row r="270" spans="1:16" x14ac:dyDescent="0.25">
      <c r="A270" t="s">
        <v>457</v>
      </c>
      <c r="B270" s="2">
        <v>45738</v>
      </c>
      <c r="C270" t="s">
        <v>250</v>
      </c>
      <c r="D270" t="s">
        <v>18</v>
      </c>
      <c r="E270">
        <v>39</v>
      </c>
      <c r="F270" t="s">
        <v>76</v>
      </c>
      <c r="G270" t="s">
        <v>36</v>
      </c>
      <c r="H270" t="s">
        <v>102</v>
      </c>
      <c r="I270">
        <v>5</v>
      </c>
      <c r="J270">
        <v>799</v>
      </c>
      <c r="K270">
        <v>3995</v>
      </c>
      <c r="L270">
        <v>5</v>
      </c>
      <c r="M270" t="s">
        <v>22</v>
      </c>
      <c r="N270" t="s">
        <v>31</v>
      </c>
      <c r="O270" t="s">
        <v>48</v>
      </c>
      <c r="P270" t="s">
        <v>86</v>
      </c>
    </row>
    <row r="271" spans="1:16" x14ac:dyDescent="0.25">
      <c r="A271" t="s">
        <v>458</v>
      </c>
      <c r="B271" s="2">
        <v>45859</v>
      </c>
      <c r="C271" t="s">
        <v>132</v>
      </c>
      <c r="D271" t="s">
        <v>35</v>
      </c>
      <c r="E271">
        <v>27</v>
      </c>
      <c r="F271" t="s">
        <v>98</v>
      </c>
      <c r="G271" t="s">
        <v>44</v>
      </c>
      <c r="H271" t="s">
        <v>235</v>
      </c>
      <c r="I271">
        <v>1</v>
      </c>
      <c r="J271">
        <v>199</v>
      </c>
      <c r="K271">
        <v>199</v>
      </c>
      <c r="L271">
        <v>10</v>
      </c>
      <c r="M271" t="s">
        <v>38</v>
      </c>
      <c r="N271" t="s">
        <v>61</v>
      </c>
      <c r="O271" t="s">
        <v>24</v>
      </c>
      <c r="P271" t="s">
        <v>86</v>
      </c>
    </row>
    <row r="272" spans="1:16" x14ac:dyDescent="0.25">
      <c r="A272" t="s">
        <v>459</v>
      </c>
      <c r="B272" s="2">
        <v>45671</v>
      </c>
      <c r="C272" t="s">
        <v>353</v>
      </c>
      <c r="D272" t="s">
        <v>18</v>
      </c>
      <c r="E272">
        <v>58</v>
      </c>
      <c r="F272" t="s">
        <v>43</v>
      </c>
      <c r="G272" t="s">
        <v>68</v>
      </c>
      <c r="H272" t="s">
        <v>69</v>
      </c>
      <c r="I272">
        <v>2</v>
      </c>
      <c r="J272">
        <v>249</v>
      </c>
      <c r="K272">
        <v>498</v>
      </c>
      <c r="L272">
        <v>0</v>
      </c>
      <c r="M272" t="s">
        <v>22</v>
      </c>
      <c r="N272" t="s">
        <v>23</v>
      </c>
      <c r="O272" t="s">
        <v>39</v>
      </c>
      <c r="P272" t="s">
        <v>157</v>
      </c>
    </row>
    <row r="273" spans="1:16" x14ac:dyDescent="0.25">
      <c r="A273" t="s">
        <v>460</v>
      </c>
      <c r="B273" s="2">
        <v>45986</v>
      </c>
      <c r="C273" t="s">
        <v>114</v>
      </c>
      <c r="D273" t="s">
        <v>35</v>
      </c>
      <c r="E273">
        <v>29</v>
      </c>
      <c r="F273" t="s">
        <v>60</v>
      </c>
      <c r="G273" t="s">
        <v>36</v>
      </c>
      <c r="H273" t="s">
        <v>355</v>
      </c>
      <c r="I273">
        <v>3</v>
      </c>
      <c r="J273">
        <v>249</v>
      </c>
      <c r="K273">
        <v>747</v>
      </c>
      <c r="L273">
        <v>15</v>
      </c>
      <c r="M273" t="s">
        <v>46</v>
      </c>
      <c r="N273" t="s">
        <v>47</v>
      </c>
      <c r="O273" t="s">
        <v>39</v>
      </c>
      <c r="P273" t="s">
        <v>117</v>
      </c>
    </row>
    <row r="274" spans="1:16" x14ac:dyDescent="0.25">
      <c r="A274" t="s">
        <v>461</v>
      </c>
      <c r="B274" s="2">
        <v>45773</v>
      </c>
      <c r="C274" t="s">
        <v>59</v>
      </c>
      <c r="D274" t="s">
        <v>18</v>
      </c>
      <c r="E274">
        <v>27</v>
      </c>
      <c r="F274" t="s">
        <v>19</v>
      </c>
      <c r="G274" t="s">
        <v>44</v>
      </c>
      <c r="H274" t="s">
        <v>99</v>
      </c>
      <c r="I274">
        <v>4</v>
      </c>
      <c r="J274">
        <v>499</v>
      </c>
      <c r="K274">
        <v>1996</v>
      </c>
      <c r="L274">
        <v>0</v>
      </c>
      <c r="M274" t="s">
        <v>46</v>
      </c>
      <c r="N274" t="s">
        <v>61</v>
      </c>
      <c r="O274" t="s">
        <v>48</v>
      </c>
      <c r="P274" t="s">
        <v>89</v>
      </c>
    </row>
    <row r="275" spans="1:16" x14ac:dyDescent="0.25">
      <c r="A275" t="s">
        <v>462</v>
      </c>
      <c r="B275" s="2">
        <v>45872</v>
      </c>
      <c r="C275" t="s">
        <v>56</v>
      </c>
      <c r="D275" t="s">
        <v>35</v>
      </c>
      <c r="E275">
        <v>54</v>
      </c>
      <c r="F275" t="s">
        <v>76</v>
      </c>
      <c r="G275" t="s">
        <v>68</v>
      </c>
      <c r="H275" t="s">
        <v>73</v>
      </c>
      <c r="I275">
        <v>4</v>
      </c>
      <c r="J275">
        <v>1299</v>
      </c>
      <c r="K275">
        <v>5196</v>
      </c>
      <c r="L275">
        <v>15</v>
      </c>
      <c r="M275" t="s">
        <v>46</v>
      </c>
      <c r="N275" t="s">
        <v>23</v>
      </c>
      <c r="O275" t="s">
        <v>39</v>
      </c>
      <c r="P275" t="s">
        <v>117</v>
      </c>
    </row>
    <row r="276" spans="1:16" x14ac:dyDescent="0.25">
      <c r="A276" t="s">
        <v>463</v>
      </c>
      <c r="B276" s="2">
        <v>46004</v>
      </c>
      <c r="C276" t="s">
        <v>142</v>
      </c>
      <c r="D276" t="s">
        <v>18</v>
      </c>
      <c r="E276">
        <v>25</v>
      </c>
      <c r="F276" t="s">
        <v>51</v>
      </c>
      <c r="G276" t="s">
        <v>68</v>
      </c>
      <c r="H276" t="s">
        <v>94</v>
      </c>
      <c r="I276">
        <v>5</v>
      </c>
      <c r="J276">
        <v>1499</v>
      </c>
      <c r="K276">
        <v>7495</v>
      </c>
      <c r="L276">
        <v>5</v>
      </c>
      <c r="M276" t="s">
        <v>53</v>
      </c>
      <c r="N276" t="s">
        <v>47</v>
      </c>
      <c r="O276" t="s">
        <v>24</v>
      </c>
      <c r="P276" t="s">
        <v>65</v>
      </c>
    </row>
    <row r="277" spans="1:16" x14ac:dyDescent="0.25">
      <c r="A277" t="s">
        <v>464</v>
      </c>
      <c r="B277" s="2">
        <v>45880</v>
      </c>
      <c r="C277" t="s">
        <v>280</v>
      </c>
      <c r="D277" t="s">
        <v>18</v>
      </c>
      <c r="E277">
        <v>56</v>
      </c>
      <c r="F277" t="s">
        <v>43</v>
      </c>
      <c r="G277" t="s">
        <v>20</v>
      </c>
      <c r="H277" t="s">
        <v>120</v>
      </c>
      <c r="I277">
        <v>1</v>
      </c>
      <c r="J277">
        <v>1999</v>
      </c>
      <c r="K277">
        <v>1999</v>
      </c>
      <c r="L277">
        <v>10</v>
      </c>
      <c r="M277" t="s">
        <v>38</v>
      </c>
      <c r="N277" t="s">
        <v>23</v>
      </c>
      <c r="O277" t="s">
        <v>39</v>
      </c>
      <c r="P277" t="s">
        <v>103</v>
      </c>
    </row>
    <row r="278" spans="1:16" x14ac:dyDescent="0.25">
      <c r="A278" t="s">
        <v>465</v>
      </c>
      <c r="B278" s="2">
        <v>45924</v>
      </c>
      <c r="C278" t="s">
        <v>112</v>
      </c>
      <c r="D278" t="s">
        <v>18</v>
      </c>
      <c r="E278">
        <v>57</v>
      </c>
      <c r="F278" t="s">
        <v>28</v>
      </c>
      <c r="G278" t="s">
        <v>36</v>
      </c>
      <c r="H278" t="s">
        <v>133</v>
      </c>
      <c r="I278">
        <v>3</v>
      </c>
      <c r="J278">
        <v>499</v>
      </c>
      <c r="K278">
        <v>1497</v>
      </c>
      <c r="L278">
        <v>0</v>
      </c>
      <c r="M278" t="s">
        <v>22</v>
      </c>
      <c r="N278" t="s">
        <v>47</v>
      </c>
      <c r="O278" t="s">
        <v>24</v>
      </c>
      <c r="P278" t="s">
        <v>193</v>
      </c>
    </row>
    <row r="279" spans="1:16" x14ac:dyDescent="0.25">
      <c r="A279" t="s">
        <v>466</v>
      </c>
      <c r="B279" s="2">
        <v>45946</v>
      </c>
      <c r="C279" t="s">
        <v>209</v>
      </c>
      <c r="D279" t="s">
        <v>18</v>
      </c>
      <c r="E279">
        <v>36</v>
      </c>
      <c r="F279" t="s">
        <v>60</v>
      </c>
      <c r="G279" t="s">
        <v>68</v>
      </c>
      <c r="H279" t="s">
        <v>94</v>
      </c>
      <c r="I279">
        <v>1</v>
      </c>
      <c r="J279">
        <v>249</v>
      </c>
      <c r="K279">
        <v>249</v>
      </c>
      <c r="L279">
        <v>15</v>
      </c>
      <c r="M279" t="s">
        <v>46</v>
      </c>
      <c r="N279" t="s">
        <v>61</v>
      </c>
      <c r="O279" t="s">
        <v>48</v>
      </c>
      <c r="P279" t="s">
        <v>82</v>
      </c>
    </row>
    <row r="280" spans="1:16" x14ac:dyDescent="0.25">
      <c r="A280" t="s">
        <v>467</v>
      </c>
      <c r="B280" s="2">
        <v>45746</v>
      </c>
      <c r="C280" t="s">
        <v>150</v>
      </c>
      <c r="D280" t="s">
        <v>35</v>
      </c>
      <c r="E280">
        <v>27</v>
      </c>
      <c r="F280" t="s">
        <v>28</v>
      </c>
      <c r="G280" t="s">
        <v>68</v>
      </c>
      <c r="H280" t="s">
        <v>94</v>
      </c>
      <c r="I280">
        <v>4</v>
      </c>
      <c r="J280">
        <v>199</v>
      </c>
      <c r="K280">
        <v>796</v>
      </c>
      <c r="L280">
        <v>105</v>
      </c>
      <c r="M280" t="s">
        <v>22</v>
      </c>
      <c r="N280" t="s">
        <v>31</v>
      </c>
      <c r="O280" t="s">
        <v>48</v>
      </c>
      <c r="P280" t="s">
        <v>89</v>
      </c>
    </row>
    <row r="281" spans="1:16" x14ac:dyDescent="0.25">
      <c r="A281" t="s">
        <v>468</v>
      </c>
      <c r="B281" s="2">
        <v>45668</v>
      </c>
      <c r="C281" t="s">
        <v>213</v>
      </c>
      <c r="D281" t="s">
        <v>35</v>
      </c>
      <c r="E281">
        <v>37</v>
      </c>
      <c r="F281" t="s">
        <v>43</v>
      </c>
      <c r="G281" t="s">
        <v>20</v>
      </c>
      <c r="H281" t="s">
        <v>120</v>
      </c>
      <c r="I281">
        <v>3</v>
      </c>
      <c r="J281">
        <v>599</v>
      </c>
      <c r="K281">
        <v>1797</v>
      </c>
      <c r="L281">
        <v>15</v>
      </c>
      <c r="M281" t="s">
        <v>38</v>
      </c>
      <c r="N281" t="s">
        <v>47</v>
      </c>
      <c r="O281" t="s">
        <v>24</v>
      </c>
      <c r="P281" t="s">
        <v>86</v>
      </c>
    </row>
    <row r="282" spans="1:16" x14ac:dyDescent="0.25">
      <c r="A282" t="s">
        <v>469</v>
      </c>
      <c r="B282" s="2">
        <v>45871</v>
      </c>
      <c r="C282" t="s">
        <v>221</v>
      </c>
      <c r="D282" t="s">
        <v>18</v>
      </c>
      <c r="E282">
        <v>30</v>
      </c>
      <c r="F282" t="s">
        <v>51</v>
      </c>
      <c r="G282" t="s">
        <v>36</v>
      </c>
      <c r="H282" t="s">
        <v>37</v>
      </c>
      <c r="I282">
        <v>3</v>
      </c>
      <c r="J282">
        <v>2499</v>
      </c>
      <c r="K282">
        <v>7497</v>
      </c>
      <c r="L282">
        <v>5</v>
      </c>
      <c r="M282" t="s">
        <v>22</v>
      </c>
      <c r="N282" t="s">
        <v>61</v>
      </c>
      <c r="O282" t="s">
        <v>48</v>
      </c>
      <c r="P282" t="s">
        <v>125</v>
      </c>
    </row>
    <row r="283" spans="1:16" x14ac:dyDescent="0.25">
      <c r="A283" t="s">
        <v>470</v>
      </c>
      <c r="B283" s="2">
        <v>45817</v>
      </c>
      <c r="C283" t="s">
        <v>257</v>
      </c>
      <c r="D283" t="s">
        <v>35</v>
      </c>
      <c r="E283">
        <v>26</v>
      </c>
      <c r="F283" t="s">
        <v>98</v>
      </c>
      <c r="G283" t="s">
        <v>20</v>
      </c>
      <c r="H283" t="s">
        <v>81</v>
      </c>
      <c r="I283">
        <v>2</v>
      </c>
      <c r="J283">
        <v>249</v>
      </c>
      <c r="K283">
        <v>498</v>
      </c>
      <c r="L283">
        <v>5</v>
      </c>
      <c r="M283" t="s">
        <v>53</v>
      </c>
      <c r="N283" t="s">
        <v>47</v>
      </c>
      <c r="O283" t="s">
        <v>24</v>
      </c>
      <c r="P283" t="s">
        <v>89</v>
      </c>
    </row>
    <row r="284" spans="1:16" x14ac:dyDescent="0.25">
      <c r="A284" t="s">
        <v>471</v>
      </c>
      <c r="B284" s="2">
        <v>46018</v>
      </c>
      <c r="C284" t="s">
        <v>280</v>
      </c>
      <c r="D284" t="s">
        <v>35</v>
      </c>
      <c r="E284">
        <v>41</v>
      </c>
      <c r="F284" t="s">
        <v>51</v>
      </c>
      <c r="G284" t="s">
        <v>20</v>
      </c>
      <c r="H284" t="s">
        <v>120</v>
      </c>
      <c r="I284">
        <v>1</v>
      </c>
      <c r="J284">
        <v>599</v>
      </c>
      <c r="K284">
        <v>599</v>
      </c>
      <c r="L284">
        <v>20</v>
      </c>
      <c r="M284" t="s">
        <v>22</v>
      </c>
      <c r="N284" t="s">
        <v>23</v>
      </c>
      <c r="O284" t="s">
        <v>48</v>
      </c>
      <c r="P284" t="s">
        <v>121</v>
      </c>
    </row>
    <row r="285" spans="1:16" x14ac:dyDescent="0.25">
      <c r="A285" t="s">
        <v>472</v>
      </c>
      <c r="B285" s="2">
        <v>45886</v>
      </c>
      <c r="C285" t="s">
        <v>224</v>
      </c>
      <c r="D285" t="s">
        <v>35</v>
      </c>
      <c r="E285">
        <v>55</v>
      </c>
      <c r="F285" t="s">
        <v>60</v>
      </c>
      <c r="G285" t="s">
        <v>29</v>
      </c>
      <c r="H285" t="s">
        <v>64</v>
      </c>
      <c r="I285">
        <v>4</v>
      </c>
      <c r="J285">
        <v>1499</v>
      </c>
      <c r="K285">
        <v>5996</v>
      </c>
      <c r="L285">
        <v>10</v>
      </c>
      <c r="M285" t="s">
        <v>53</v>
      </c>
      <c r="N285" t="s">
        <v>31</v>
      </c>
      <c r="O285" t="s">
        <v>48</v>
      </c>
      <c r="P285" t="s">
        <v>25</v>
      </c>
    </row>
    <row r="286" spans="1:16" x14ac:dyDescent="0.25">
      <c r="A286" t="s">
        <v>473</v>
      </c>
      <c r="B286" s="2">
        <v>45741</v>
      </c>
      <c r="C286" t="s">
        <v>132</v>
      </c>
      <c r="D286" t="s">
        <v>18</v>
      </c>
      <c r="E286">
        <v>32</v>
      </c>
      <c r="F286" t="s">
        <v>76</v>
      </c>
      <c r="G286" t="s">
        <v>44</v>
      </c>
      <c r="H286" t="s">
        <v>45</v>
      </c>
      <c r="I286">
        <v>4</v>
      </c>
      <c r="J286">
        <v>199</v>
      </c>
      <c r="K286">
        <v>796</v>
      </c>
      <c r="L286">
        <v>5</v>
      </c>
      <c r="M286" t="s">
        <v>46</v>
      </c>
      <c r="N286" t="s">
        <v>61</v>
      </c>
      <c r="O286" t="s">
        <v>48</v>
      </c>
      <c r="P286" t="s">
        <v>121</v>
      </c>
    </row>
    <row r="287" spans="1:16" x14ac:dyDescent="0.25">
      <c r="A287" t="s">
        <v>474</v>
      </c>
      <c r="B287" s="2">
        <v>45746</v>
      </c>
      <c r="C287" t="s">
        <v>270</v>
      </c>
      <c r="D287" t="s">
        <v>18</v>
      </c>
      <c r="E287">
        <v>32</v>
      </c>
      <c r="F287" t="s">
        <v>43</v>
      </c>
      <c r="G287" t="s">
        <v>20</v>
      </c>
      <c r="H287" t="s">
        <v>120</v>
      </c>
      <c r="I287">
        <v>2</v>
      </c>
      <c r="J287">
        <v>1999</v>
      </c>
      <c r="K287">
        <v>3998</v>
      </c>
      <c r="L287">
        <v>20</v>
      </c>
      <c r="M287" t="s">
        <v>46</v>
      </c>
      <c r="N287" t="s">
        <v>31</v>
      </c>
      <c r="O287" t="s">
        <v>39</v>
      </c>
      <c r="P287" t="s">
        <v>157</v>
      </c>
    </row>
    <row r="288" spans="1:16" x14ac:dyDescent="0.25">
      <c r="A288" t="s">
        <v>475</v>
      </c>
      <c r="B288" s="2">
        <v>45896</v>
      </c>
      <c r="C288" t="s">
        <v>360</v>
      </c>
      <c r="D288" t="s">
        <v>35</v>
      </c>
      <c r="E288">
        <v>55</v>
      </c>
      <c r="F288" t="s">
        <v>19</v>
      </c>
      <c r="G288" t="s">
        <v>44</v>
      </c>
      <c r="H288" t="s">
        <v>99</v>
      </c>
      <c r="I288">
        <v>3</v>
      </c>
      <c r="J288">
        <v>399</v>
      </c>
      <c r="K288">
        <v>1197</v>
      </c>
      <c r="L288">
        <v>0</v>
      </c>
      <c r="M288" t="s">
        <v>85</v>
      </c>
      <c r="N288" t="s">
        <v>31</v>
      </c>
      <c r="O288" t="s">
        <v>48</v>
      </c>
      <c r="P288" t="s">
        <v>40</v>
      </c>
    </row>
    <row r="289" spans="1:16" x14ac:dyDescent="0.25">
      <c r="A289" t="s">
        <v>476</v>
      </c>
      <c r="B289" s="2">
        <v>45713</v>
      </c>
      <c r="C289" t="s">
        <v>182</v>
      </c>
      <c r="D289" t="s">
        <v>18</v>
      </c>
      <c r="E289">
        <v>39</v>
      </c>
      <c r="F289" t="s">
        <v>43</v>
      </c>
      <c r="G289" t="s">
        <v>68</v>
      </c>
      <c r="H289" t="s">
        <v>171</v>
      </c>
      <c r="I289">
        <v>3</v>
      </c>
      <c r="J289">
        <v>1999</v>
      </c>
      <c r="K289">
        <v>5997</v>
      </c>
      <c r="L289">
        <v>10</v>
      </c>
      <c r="M289" t="s">
        <v>46</v>
      </c>
      <c r="N289" t="s">
        <v>31</v>
      </c>
      <c r="O289" t="s">
        <v>48</v>
      </c>
      <c r="P289" t="s">
        <v>86</v>
      </c>
    </row>
    <row r="290" spans="1:16" x14ac:dyDescent="0.25">
      <c r="A290" t="s">
        <v>477</v>
      </c>
      <c r="B290" s="2">
        <v>45687</v>
      </c>
      <c r="C290" t="s">
        <v>270</v>
      </c>
      <c r="D290" t="s">
        <v>35</v>
      </c>
      <c r="E290">
        <v>60</v>
      </c>
      <c r="F290" t="s">
        <v>60</v>
      </c>
      <c r="G290" t="s">
        <v>29</v>
      </c>
      <c r="H290" t="s">
        <v>30</v>
      </c>
      <c r="I290">
        <v>5</v>
      </c>
      <c r="J290">
        <v>399</v>
      </c>
      <c r="K290">
        <v>1995</v>
      </c>
      <c r="L290">
        <v>5</v>
      </c>
      <c r="M290" t="s">
        <v>38</v>
      </c>
      <c r="N290" t="s">
        <v>61</v>
      </c>
      <c r="O290" t="s">
        <v>39</v>
      </c>
      <c r="P290" t="s">
        <v>70</v>
      </c>
    </row>
    <row r="291" spans="1:16" x14ac:dyDescent="0.25">
      <c r="A291" t="s">
        <v>478</v>
      </c>
      <c r="B291" s="2">
        <v>45676</v>
      </c>
      <c r="C291" t="s">
        <v>110</v>
      </c>
      <c r="D291" t="s">
        <v>18</v>
      </c>
      <c r="E291">
        <v>39</v>
      </c>
      <c r="F291" t="s">
        <v>76</v>
      </c>
      <c r="G291" t="s">
        <v>36</v>
      </c>
      <c r="H291" t="s">
        <v>355</v>
      </c>
      <c r="I291">
        <v>4</v>
      </c>
      <c r="J291">
        <v>2499</v>
      </c>
      <c r="K291">
        <v>9996</v>
      </c>
      <c r="L291">
        <v>20</v>
      </c>
      <c r="M291" t="s">
        <v>22</v>
      </c>
      <c r="N291" t="s">
        <v>31</v>
      </c>
      <c r="O291" t="s">
        <v>48</v>
      </c>
      <c r="P291" t="s">
        <v>86</v>
      </c>
    </row>
    <row r="292" spans="1:16" x14ac:dyDescent="0.25">
      <c r="A292" t="s">
        <v>479</v>
      </c>
      <c r="B292" s="2">
        <v>45707</v>
      </c>
      <c r="C292" t="s">
        <v>84</v>
      </c>
      <c r="D292" t="s">
        <v>18</v>
      </c>
      <c r="E292">
        <v>34</v>
      </c>
      <c r="F292" t="s">
        <v>124</v>
      </c>
      <c r="G292" t="s">
        <v>29</v>
      </c>
      <c r="H292" t="s">
        <v>200</v>
      </c>
      <c r="I292">
        <v>2</v>
      </c>
      <c r="J292">
        <v>499</v>
      </c>
      <c r="K292">
        <v>998</v>
      </c>
      <c r="L292">
        <v>10</v>
      </c>
      <c r="M292" t="s">
        <v>38</v>
      </c>
      <c r="N292" t="s">
        <v>47</v>
      </c>
      <c r="O292" t="s">
        <v>39</v>
      </c>
      <c r="P292" t="s">
        <v>89</v>
      </c>
    </row>
    <row r="293" spans="1:16" x14ac:dyDescent="0.25">
      <c r="A293" t="s">
        <v>480</v>
      </c>
      <c r="B293" s="2">
        <v>45791</v>
      </c>
      <c r="C293" t="s">
        <v>110</v>
      </c>
      <c r="D293" t="s">
        <v>35</v>
      </c>
      <c r="E293">
        <v>47</v>
      </c>
      <c r="F293" t="s">
        <v>19</v>
      </c>
      <c r="G293" t="s">
        <v>44</v>
      </c>
      <c r="H293" t="s">
        <v>99</v>
      </c>
      <c r="I293">
        <v>3</v>
      </c>
      <c r="J293">
        <v>599</v>
      </c>
      <c r="K293">
        <v>1797</v>
      </c>
      <c r="L293">
        <v>15</v>
      </c>
      <c r="M293" t="s">
        <v>38</v>
      </c>
      <c r="N293" t="s">
        <v>23</v>
      </c>
      <c r="O293" t="s">
        <v>39</v>
      </c>
      <c r="P293" t="s">
        <v>54</v>
      </c>
    </row>
    <row r="294" spans="1:16" x14ac:dyDescent="0.25">
      <c r="A294" t="s">
        <v>481</v>
      </c>
      <c r="B294" s="2">
        <v>45810</v>
      </c>
      <c r="C294" t="s">
        <v>93</v>
      </c>
      <c r="D294" t="s">
        <v>18</v>
      </c>
      <c r="E294">
        <v>27</v>
      </c>
      <c r="F294" t="s">
        <v>124</v>
      </c>
      <c r="G294" t="s">
        <v>68</v>
      </c>
      <c r="H294" t="s">
        <v>73</v>
      </c>
      <c r="I294">
        <v>4</v>
      </c>
      <c r="J294">
        <v>1299</v>
      </c>
      <c r="K294">
        <v>5196</v>
      </c>
      <c r="L294">
        <v>5</v>
      </c>
      <c r="M294" t="s">
        <v>46</v>
      </c>
      <c r="N294" t="s">
        <v>61</v>
      </c>
      <c r="O294" t="s">
        <v>48</v>
      </c>
      <c r="P294" t="s">
        <v>62</v>
      </c>
    </row>
    <row r="295" spans="1:16" x14ac:dyDescent="0.25">
      <c r="A295" t="s">
        <v>482</v>
      </c>
      <c r="B295" s="2">
        <v>45907</v>
      </c>
      <c r="C295" t="s">
        <v>119</v>
      </c>
      <c r="D295" t="s">
        <v>18</v>
      </c>
      <c r="E295">
        <v>38</v>
      </c>
      <c r="F295" t="s">
        <v>98</v>
      </c>
      <c r="G295" t="s">
        <v>29</v>
      </c>
      <c r="H295" t="s">
        <v>64</v>
      </c>
      <c r="I295">
        <v>2</v>
      </c>
      <c r="J295">
        <v>249</v>
      </c>
      <c r="K295">
        <v>498</v>
      </c>
      <c r="L295">
        <v>0</v>
      </c>
      <c r="M295" t="s">
        <v>22</v>
      </c>
      <c r="N295" t="s">
        <v>31</v>
      </c>
      <c r="O295" t="s">
        <v>24</v>
      </c>
      <c r="P295" t="s">
        <v>32</v>
      </c>
    </row>
    <row r="296" spans="1:16" x14ac:dyDescent="0.25">
      <c r="A296" t="s">
        <v>483</v>
      </c>
      <c r="B296" s="2">
        <v>45724</v>
      </c>
      <c r="C296" t="s">
        <v>239</v>
      </c>
      <c r="D296" t="s">
        <v>35</v>
      </c>
      <c r="E296">
        <v>58</v>
      </c>
      <c r="F296" t="s">
        <v>28</v>
      </c>
      <c r="G296" t="s">
        <v>68</v>
      </c>
      <c r="H296" t="s">
        <v>137</v>
      </c>
      <c r="I296">
        <v>4</v>
      </c>
      <c r="J296">
        <v>249</v>
      </c>
      <c r="K296">
        <v>996</v>
      </c>
      <c r="L296">
        <v>15</v>
      </c>
      <c r="M296" t="s">
        <v>22</v>
      </c>
      <c r="N296" t="s">
        <v>61</v>
      </c>
      <c r="O296" t="s">
        <v>39</v>
      </c>
      <c r="P296" t="s">
        <v>121</v>
      </c>
    </row>
    <row r="297" spans="1:16" x14ac:dyDescent="0.25">
      <c r="A297" t="s">
        <v>484</v>
      </c>
      <c r="B297" s="2">
        <v>45849</v>
      </c>
      <c r="C297" t="s">
        <v>372</v>
      </c>
      <c r="D297" t="s">
        <v>35</v>
      </c>
      <c r="E297">
        <v>51</v>
      </c>
      <c r="F297" t="s">
        <v>76</v>
      </c>
      <c r="G297" t="s">
        <v>20</v>
      </c>
      <c r="H297" t="s">
        <v>81</v>
      </c>
      <c r="I297">
        <v>2</v>
      </c>
      <c r="J297">
        <v>2499</v>
      </c>
      <c r="K297">
        <v>4998</v>
      </c>
      <c r="L297">
        <v>0</v>
      </c>
      <c r="M297" t="s">
        <v>38</v>
      </c>
      <c r="N297" t="s">
        <v>47</v>
      </c>
      <c r="O297" t="s">
        <v>24</v>
      </c>
      <c r="P297" t="s">
        <v>125</v>
      </c>
    </row>
    <row r="298" spans="1:16" x14ac:dyDescent="0.25">
      <c r="A298" t="s">
        <v>485</v>
      </c>
      <c r="B298" s="2">
        <v>45915</v>
      </c>
      <c r="C298" t="s">
        <v>310</v>
      </c>
      <c r="D298" t="s">
        <v>35</v>
      </c>
      <c r="E298">
        <v>28</v>
      </c>
      <c r="F298" t="s">
        <v>19</v>
      </c>
      <c r="G298" t="s">
        <v>44</v>
      </c>
      <c r="H298" t="s">
        <v>235</v>
      </c>
      <c r="I298">
        <v>1</v>
      </c>
      <c r="J298">
        <v>799</v>
      </c>
      <c r="K298">
        <v>799</v>
      </c>
      <c r="L298">
        <v>0</v>
      </c>
      <c r="M298" t="s">
        <v>46</v>
      </c>
      <c r="N298" t="s">
        <v>31</v>
      </c>
      <c r="O298" t="s">
        <v>39</v>
      </c>
      <c r="P298" t="s">
        <v>78</v>
      </c>
    </row>
    <row r="299" spans="1:16" x14ac:dyDescent="0.25">
      <c r="A299" t="s">
        <v>486</v>
      </c>
      <c r="B299" s="2">
        <v>46009</v>
      </c>
      <c r="C299" t="s">
        <v>17</v>
      </c>
      <c r="D299" t="s">
        <v>35</v>
      </c>
      <c r="E299">
        <v>49</v>
      </c>
      <c r="F299" t="s">
        <v>60</v>
      </c>
      <c r="G299" t="s">
        <v>68</v>
      </c>
      <c r="H299" t="s">
        <v>94</v>
      </c>
      <c r="I299">
        <v>3</v>
      </c>
      <c r="J299">
        <v>799</v>
      </c>
      <c r="K299">
        <v>2397</v>
      </c>
      <c r="L299">
        <v>5</v>
      </c>
      <c r="M299" t="s">
        <v>53</v>
      </c>
      <c r="N299" t="s">
        <v>61</v>
      </c>
      <c r="O299" t="s">
        <v>24</v>
      </c>
      <c r="P299" t="s">
        <v>89</v>
      </c>
    </row>
    <row r="300" spans="1:16" x14ac:dyDescent="0.25">
      <c r="A300" t="s">
        <v>487</v>
      </c>
      <c r="B300" s="2">
        <v>45669</v>
      </c>
      <c r="C300" t="s">
        <v>310</v>
      </c>
      <c r="D300" t="s">
        <v>18</v>
      </c>
      <c r="E300">
        <v>25</v>
      </c>
      <c r="F300" t="s">
        <v>60</v>
      </c>
      <c r="G300" t="s">
        <v>29</v>
      </c>
      <c r="H300" t="s">
        <v>30</v>
      </c>
      <c r="I300">
        <v>2</v>
      </c>
      <c r="J300">
        <v>2499</v>
      </c>
      <c r="K300">
        <v>4998</v>
      </c>
      <c r="L300">
        <v>0</v>
      </c>
      <c r="M300" t="s">
        <v>22</v>
      </c>
      <c r="N300" t="s">
        <v>31</v>
      </c>
      <c r="O300" t="s">
        <v>48</v>
      </c>
      <c r="P300" t="s">
        <v>40</v>
      </c>
    </row>
    <row r="301" spans="1:16" x14ac:dyDescent="0.25">
      <c r="A301" t="s">
        <v>488</v>
      </c>
      <c r="B301" s="2">
        <v>45713</v>
      </c>
      <c r="C301" t="s">
        <v>164</v>
      </c>
      <c r="D301" t="s">
        <v>18</v>
      </c>
      <c r="E301">
        <v>21</v>
      </c>
      <c r="F301" t="s">
        <v>19</v>
      </c>
      <c r="G301" t="s">
        <v>20</v>
      </c>
      <c r="H301" t="s">
        <v>81</v>
      </c>
      <c r="I301">
        <v>1</v>
      </c>
      <c r="J301">
        <v>1999</v>
      </c>
      <c r="K301">
        <v>1999</v>
      </c>
      <c r="L301">
        <v>15</v>
      </c>
      <c r="M301" t="s">
        <v>22</v>
      </c>
      <c r="N301" t="s">
        <v>61</v>
      </c>
      <c r="O301" t="s">
        <v>24</v>
      </c>
      <c r="P301" t="s">
        <v>103</v>
      </c>
    </row>
    <row r="302" spans="1:16" x14ac:dyDescent="0.25">
      <c r="A302" t="s">
        <v>489</v>
      </c>
      <c r="B302" s="2">
        <v>46013</v>
      </c>
      <c r="C302" t="s">
        <v>377</v>
      </c>
      <c r="D302" t="s">
        <v>18</v>
      </c>
      <c r="E302">
        <v>37</v>
      </c>
      <c r="F302" t="s">
        <v>28</v>
      </c>
      <c r="G302" t="s">
        <v>44</v>
      </c>
      <c r="H302" t="s">
        <v>99</v>
      </c>
      <c r="I302">
        <v>2</v>
      </c>
      <c r="J302">
        <v>399</v>
      </c>
      <c r="K302">
        <v>798</v>
      </c>
      <c r="L302">
        <v>0</v>
      </c>
      <c r="M302" t="s">
        <v>85</v>
      </c>
      <c r="N302" t="s">
        <v>31</v>
      </c>
      <c r="O302" t="s">
        <v>48</v>
      </c>
      <c r="P302" t="s">
        <v>40</v>
      </c>
    </row>
    <row r="303" spans="1:16" x14ac:dyDescent="0.25">
      <c r="A303" t="s">
        <v>490</v>
      </c>
      <c r="B303" s="2">
        <v>45974</v>
      </c>
      <c r="C303" t="s">
        <v>88</v>
      </c>
      <c r="D303" t="s">
        <v>35</v>
      </c>
      <c r="E303">
        <v>25</v>
      </c>
      <c r="F303" t="s">
        <v>19</v>
      </c>
      <c r="G303" t="s">
        <v>29</v>
      </c>
      <c r="H303" t="s">
        <v>140</v>
      </c>
      <c r="I303">
        <v>1</v>
      </c>
      <c r="J303">
        <v>1299</v>
      </c>
      <c r="K303">
        <v>1299</v>
      </c>
      <c r="L303">
        <v>15</v>
      </c>
      <c r="M303" t="s">
        <v>53</v>
      </c>
      <c r="N303" t="s">
        <v>47</v>
      </c>
      <c r="O303" t="s">
        <v>39</v>
      </c>
      <c r="P303" t="s">
        <v>78</v>
      </c>
    </row>
    <row r="304" spans="1:16" x14ac:dyDescent="0.25">
      <c r="A304" t="s">
        <v>491</v>
      </c>
      <c r="B304" s="2">
        <v>45740</v>
      </c>
      <c r="C304" t="s">
        <v>192</v>
      </c>
      <c r="D304" t="s">
        <v>35</v>
      </c>
      <c r="E304">
        <v>31</v>
      </c>
      <c r="F304" t="s">
        <v>51</v>
      </c>
      <c r="G304" t="s">
        <v>29</v>
      </c>
      <c r="H304" t="s">
        <v>64</v>
      </c>
      <c r="I304">
        <v>4</v>
      </c>
      <c r="J304">
        <v>499</v>
      </c>
      <c r="K304">
        <v>1996</v>
      </c>
      <c r="L304">
        <v>10</v>
      </c>
      <c r="M304" t="s">
        <v>53</v>
      </c>
      <c r="N304" t="s">
        <v>23</v>
      </c>
      <c r="O304" t="s">
        <v>24</v>
      </c>
      <c r="P304" t="s">
        <v>25</v>
      </c>
    </row>
    <row r="305" spans="1:16" x14ac:dyDescent="0.25">
      <c r="A305" t="s">
        <v>492</v>
      </c>
      <c r="B305" s="2">
        <v>45704</v>
      </c>
      <c r="C305" t="s">
        <v>209</v>
      </c>
      <c r="D305" t="s">
        <v>18</v>
      </c>
      <c r="E305">
        <v>24</v>
      </c>
      <c r="F305" t="s">
        <v>43</v>
      </c>
      <c r="G305" t="s">
        <v>20</v>
      </c>
      <c r="H305" t="s">
        <v>81</v>
      </c>
      <c r="I305">
        <v>4</v>
      </c>
      <c r="J305">
        <v>299</v>
      </c>
      <c r="K305">
        <v>1196</v>
      </c>
      <c r="L305">
        <v>5</v>
      </c>
      <c r="M305" t="s">
        <v>22</v>
      </c>
      <c r="N305" t="s">
        <v>31</v>
      </c>
      <c r="O305" t="s">
        <v>39</v>
      </c>
      <c r="P305" t="s">
        <v>62</v>
      </c>
    </row>
    <row r="306" spans="1:16" x14ac:dyDescent="0.25">
      <c r="A306" t="s">
        <v>493</v>
      </c>
      <c r="B306" s="2">
        <v>45806</v>
      </c>
      <c r="C306" t="s">
        <v>342</v>
      </c>
      <c r="D306" t="s">
        <v>35</v>
      </c>
      <c r="E306">
        <v>45</v>
      </c>
      <c r="F306" t="s">
        <v>19</v>
      </c>
      <c r="G306" t="s">
        <v>20</v>
      </c>
      <c r="H306" t="s">
        <v>21</v>
      </c>
      <c r="I306">
        <v>2</v>
      </c>
      <c r="J306">
        <v>199</v>
      </c>
      <c r="K306">
        <v>398</v>
      </c>
      <c r="L306">
        <v>0</v>
      </c>
      <c r="M306" t="s">
        <v>38</v>
      </c>
      <c r="N306" t="s">
        <v>23</v>
      </c>
      <c r="O306" t="s">
        <v>24</v>
      </c>
      <c r="P306" t="s">
        <v>32</v>
      </c>
    </row>
    <row r="307" spans="1:16" x14ac:dyDescent="0.25">
      <c r="A307" t="s">
        <v>494</v>
      </c>
      <c r="B307" s="2">
        <v>45795</v>
      </c>
      <c r="C307" t="s">
        <v>495</v>
      </c>
      <c r="D307" t="s">
        <v>18</v>
      </c>
      <c r="E307">
        <v>41</v>
      </c>
      <c r="F307" t="s">
        <v>60</v>
      </c>
      <c r="G307" t="s">
        <v>44</v>
      </c>
      <c r="H307" t="s">
        <v>177</v>
      </c>
      <c r="I307">
        <v>4</v>
      </c>
      <c r="J307">
        <v>1499</v>
      </c>
      <c r="K307">
        <v>5996</v>
      </c>
      <c r="L307">
        <v>5</v>
      </c>
      <c r="M307" t="s">
        <v>38</v>
      </c>
      <c r="N307" t="s">
        <v>61</v>
      </c>
      <c r="O307" t="s">
        <v>39</v>
      </c>
      <c r="P307" t="s">
        <v>62</v>
      </c>
    </row>
    <row r="308" spans="1:16" x14ac:dyDescent="0.25">
      <c r="A308" t="s">
        <v>496</v>
      </c>
      <c r="B308" s="2">
        <v>45990</v>
      </c>
      <c r="C308" t="s">
        <v>414</v>
      </c>
      <c r="D308" t="s">
        <v>18</v>
      </c>
      <c r="E308">
        <v>26</v>
      </c>
      <c r="F308" t="s">
        <v>98</v>
      </c>
      <c r="G308" t="s">
        <v>44</v>
      </c>
      <c r="H308" t="s">
        <v>99</v>
      </c>
      <c r="I308">
        <v>4</v>
      </c>
      <c r="J308">
        <v>799</v>
      </c>
      <c r="K308">
        <v>3196</v>
      </c>
      <c r="L308">
        <v>5</v>
      </c>
      <c r="M308" t="s">
        <v>38</v>
      </c>
      <c r="N308" t="s">
        <v>61</v>
      </c>
      <c r="O308" t="s">
        <v>48</v>
      </c>
      <c r="P308" t="s">
        <v>82</v>
      </c>
    </row>
    <row r="309" spans="1:16" x14ac:dyDescent="0.25">
      <c r="A309" t="s">
        <v>497</v>
      </c>
      <c r="B309" s="2">
        <v>45852</v>
      </c>
      <c r="C309" t="s">
        <v>209</v>
      </c>
      <c r="D309" t="s">
        <v>35</v>
      </c>
      <c r="E309">
        <v>57</v>
      </c>
      <c r="F309" t="s">
        <v>98</v>
      </c>
      <c r="G309" t="s">
        <v>68</v>
      </c>
      <c r="H309" t="s">
        <v>69</v>
      </c>
      <c r="I309">
        <v>2</v>
      </c>
      <c r="J309">
        <v>1499</v>
      </c>
      <c r="K309">
        <v>2998</v>
      </c>
      <c r="L309">
        <v>5</v>
      </c>
      <c r="M309" t="s">
        <v>22</v>
      </c>
      <c r="N309" t="s">
        <v>61</v>
      </c>
      <c r="O309" t="s">
        <v>24</v>
      </c>
      <c r="P309" t="s">
        <v>134</v>
      </c>
    </row>
    <row r="310" spans="1:16" x14ac:dyDescent="0.25">
      <c r="A310" t="s">
        <v>498</v>
      </c>
      <c r="B310" s="2">
        <v>45993</v>
      </c>
      <c r="C310" t="s">
        <v>304</v>
      </c>
      <c r="D310" t="s">
        <v>18</v>
      </c>
      <c r="E310">
        <v>51</v>
      </c>
      <c r="F310" t="s">
        <v>76</v>
      </c>
      <c r="G310" t="s">
        <v>36</v>
      </c>
      <c r="H310" t="s">
        <v>156</v>
      </c>
      <c r="I310">
        <v>1</v>
      </c>
      <c r="J310">
        <v>499</v>
      </c>
      <c r="K310">
        <v>499</v>
      </c>
      <c r="L310">
        <v>10</v>
      </c>
      <c r="M310" t="s">
        <v>85</v>
      </c>
      <c r="N310" t="s">
        <v>23</v>
      </c>
      <c r="O310" t="s">
        <v>39</v>
      </c>
      <c r="P310" t="s">
        <v>89</v>
      </c>
    </row>
    <row r="311" spans="1:16" x14ac:dyDescent="0.25">
      <c r="A311" t="s">
        <v>499</v>
      </c>
      <c r="B311" s="2">
        <v>45943</v>
      </c>
      <c r="C311" t="s">
        <v>239</v>
      </c>
      <c r="D311" t="s">
        <v>18</v>
      </c>
      <c r="E311">
        <v>18</v>
      </c>
      <c r="F311" t="s">
        <v>124</v>
      </c>
      <c r="G311" t="s">
        <v>36</v>
      </c>
      <c r="H311" t="s">
        <v>37</v>
      </c>
      <c r="I311">
        <v>4</v>
      </c>
      <c r="J311">
        <v>299</v>
      </c>
      <c r="K311">
        <v>1196</v>
      </c>
      <c r="L311">
        <v>20</v>
      </c>
      <c r="M311" t="s">
        <v>22</v>
      </c>
      <c r="N311" t="s">
        <v>61</v>
      </c>
      <c r="O311" t="s">
        <v>24</v>
      </c>
      <c r="P311" t="s">
        <v>25</v>
      </c>
    </row>
    <row r="312" spans="1:16" x14ac:dyDescent="0.25">
      <c r="A312" t="s">
        <v>500</v>
      </c>
      <c r="B312" s="2">
        <v>45800</v>
      </c>
      <c r="C312" t="s">
        <v>250</v>
      </c>
      <c r="D312" t="s">
        <v>18</v>
      </c>
      <c r="E312">
        <v>53</v>
      </c>
      <c r="F312" t="s">
        <v>28</v>
      </c>
      <c r="G312" t="s">
        <v>36</v>
      </c>
      <c r="H312" t="s">
        <v>37</v>
      </c>
      <c r="I312">
        <v>2</v>
      </c>
      <c r="J312">
        <v>599</v>
      </c>
      <c r="K312">
        <v>1198</v>
      </c>
      <c r="L312">
        <v>15</v>
      </c>
      <c r="M312" t="s">
        <v>53</v>
      </c>
      <c r="N312" t="s">
        <v>23</v>
      </c>
      <c r="O312" t="s">
        <v>39</v>
      </c>
      <c r="P312" t="s">
        <v>62</v>
      </c>
    </row>
    <row r="313" spans="1:16" x14ac:dyDescent="0.25">
      <c r="A313" t="s">
        <v>501</v>
      </c>
      <c r="B313" s="2">
        <v>45886</v>
      </c>
      <c r="C313" t="s">
        <v>304</v>
      </c>
      <c r="D313" t="s">
        <v>18</v>
      </c>
      <c r="E313">
        <v>49</v>
      </c>
      <c r="F313" t="s">
        <v>98</v>
      </c>
      <c r="G313" t="s">
        <v>68</v>
      </c>
      <c r="H313" t="s">
        <v>69</v>
      </c>
      <c r="I313">
        <v>1</v>
      </c>
      <c r="J313">
        <v>999</v>
      </c>
      <c r="K313">
        <v>999</v>
      </c>
      <c r="L313">
        <v>0</v>
      </c>
      <c r="M313" t="s">
        <v>22</v>
      </c>
      <c r="N313" t="s">
        <v>61</v>
      </c>
      <c r="O313" t="s">
        <v>24</v>
      </c>
      <c r="P313" t="s">
        <v>103</v>
      </c>
    </row>
    <row r="314" spans="1:16" x14ac:dyDescent="0.25">
      <c r="A314" t="s">
        <v>502</v>
      </c>
      <c r="B314" s="2">
        <v>45974</v>
      </c>
      <c r="C314" t="s">
        <v>261</v>
      </c>
      <c r="D314" t="s">
        <v>35</v>
      </c>
      <c r="E314">
        <v>50</v>
      </c>
      <c r="F314" t="s">
        <v>76</v>
      </c>
      <c r="G314" t="s">
        <v>68</v>
      </c>
      <c r="H314" t="s">
        <v>73</v>
      </c>
      <c r="I314">
        <v>1</v>
      </c>
      <c r="J314">
        <v>1499</v>
      </c>
      <c r="K314">
        <v>1499</v>
      </c>
      <c r="L314">
        <v>15</v>
      </c>
      <c r="M314" t="s">
        <v>46</v>
      </c>
      <c r="N314" t="s">
        <v>31</v>
      </c>
      <c r="O314" t="s">
        <v>24</v>
      </c>
      <c r="P314" t="s">
        <v>89</v>
      </c>
    </row>
    <row r="315" spans="1:16" x14ac:dyDescent="0.25">
      <c r="A315" t="s">
        <v>503</v>
      </c>
      <c r="B315" s="2">
        <v>45965</v>
      </c>
      <c r="C315" t="s">
        <v>84</v>
      </c>
      <c r="D315" t="s">
        <v>35</v>
      </c>
      <c r="E315">
        <v>46</v>
      </c>
      <c r="F315" t="s">
        <v>19</v>
      </c>
      <c r="G315" t="s">
        <v>36</v>
      </c>
      <c r="H315" t="s">
        <v>37</v>
      </c>
      <c r="I315">
        <v>5</v>
      </c>
      <c r="J315">
        <v>1499</v>
      </c>
      <c r="K315">
        <v>7495</v>
      </c>
      <c r="L315">
        <v>0</v>
      </c>
      <c r="M315" t="s">
        <v>53</v>
      </c>
      <c r="N315" t="s">
        <v>23</v>
      </c>
      <c r="O315" t="s">
        <v>39</v>
      </c>
      <c r="P315" t="s">
        <v>125</v>
      </c>
    </row>
    <row r="316" spans="1:16" x14ac:dyDescent="0.25">
      <c r="A316" t="s">
        <v>504</v>
      </c>
      <c r="B316" s="2">
        <v>46017</v>
      </c>
      <c r="C316" t="s">
        <v>75</v>
      </c>
      <c r="D316" t="s">
        <v>18</v>
      </c>
      <c r="E316">
        <v>28</v>
      </c>
      <c r="F316" t="s">
        <v>51</v>
      </c>
      <c r="G316" t="s">
        <v>44</v>
      </c>
      <c r="H316" t="s">
        <v>151</v>
      </c>
      <c r="I316">
        <v>5</v>
      </c>
      <c r="J316">
        <v>599</v>
      </c>
      <c r="K316">
        <v>2995</v>
      </c>
      <c r="L316">
        <v>5</v>
      </c>
      <c r="M316" t="s">
        <v>22</v>
      </c>
      <c r="N316" t="s">
        <v>23</v>
      </c>
      <c r="O316" t="s">
        <v>39</v>
      </c>
      <c r="P316" t="s">
        <v>40</v>
      </c>
    </row>
    <row r="317" spans="1:16" x14ac:dyDescent="0.25">
      <c r="A317" t="s">
        <v>505</v>
      </c>
      <c r="B317" s="2">
        <v>45768</v>
      </c>
      <c r="C317" t="s">
        <v>112</v>
      </c>
      <c r="D317" t="s">
        <v>18</v>
      </c>
      <c r="E317">
        <v>39</v>
      </c>
      <c r="F317" t="s">
        <v>19</v>
      </c>
      <c r="G317" t="s">
        <v>29</v>
      </c>
      <c r="H317" t="s">
        <v>30</v>
      </c>
      <c r="I317">
        <v>1</v>
      </c>
      <c r="J317">
        <v>799</v>
      </c>
      <c r="K317">
        <v>799</v>
      </c>
      <c r="L317">
        <v>15</v>
      </c>
      <c r="M317" t="s">
        <v>38</v>
      </c>
      <c r="N317" t="s">
        <v>23</v>
      </c>
      <c r="O317" t="s">
        <v>39</v>
      </c>
      <c r="P317" t="s">
        <v>62</v>
      </c>
    </row>
    <row r="318" spans="1:16" x14ac:dyDescent="0.25">
      <c r="A318" t="s">
        <v>506</v>
      </c>
      <c r="B318" s="2">
        <v>45660</v>
      </c>
      <c r="C318" t="s">
        <v>286</v>
      </c>
      <c r="D318" t="s">
        <v>18</v>
      </c>
      <c r="E318">
        <v>53</v>
      </c>
      <c r="F318" t="s">
        <v>28</v>
      </c>
      <c r="G318" t="s">
        <v>68</v>
      </c>
      <c r="H318" t="s">
        <v>94</v>
      </c>
      <c r="I318">
        <v>2</v>
      </c>
      <c r="J318">
        <v>999</v>
      </c>
      <c r="K318">
        <v>1998</v>
      </c>
      <c r="L318">
        <v>20</v>
      </c>
      <c r="M318" t="s">
        <v>22</v>
      </c>
      <c r="N318" t="s">
        <v>47</v>
      </c>
      <c r="O318" t="s">
        <v>48</v>
      </c>
      <c r="P318" t="s">
        <v>193</v>
      </c>
    </row>
    <row r="319" spans="1:16" x14ac:dyDescent="0.25">
      <c r="A319" t="s">
        <v>507</v>
      </c>
      <c r="B319" s="2">
        <v>45994</v>
      </c>
      <c r="C319" t="s">
        <v>270</v>
      </c>
      <c r="D319" t="s">
        <v>35</v>
      </c>
      <c r="E319">
        <v>50</v>
      </c>
      <c r="F319" t="s">
        <v>28</v>
      </c>
      <c r="G319" t="s">
        <v>29</v>
      </c>
      <c r="H319" t="s">
        <v>30</v>
      </c>
      <c r="I319">
        <v>1</v>
      </c>
      <c r="J319">
        <v>799</v>
      </c>
      <c r="K319">
        <v>799</v>
      </c>
      <c r="L319">
        <v>15</v>
      </c>
      <c r="M319" t="s">
        <v>85</v>
      </c>
      <c r="N319" t="s">
        <v>47</v>
      </c>
      <c r="O319" t="s">
        <v>39</v>
      </c>
      <c r="P319" t="s">
        <v>157</v>
      </c>
    </row>
    <row r="320" spans="1:16" x14ac:dyDescent="0.25">
      <c r="A320" t="s">
        <v>508</v>
      </c>
      <c r="B320" s="2">
        <v>45728</v>
      </c>
      <c r="C320" t="s">
        <v>93</v>
      </c>
      <c r="D320" t="s">
        <v>35</v>
      </c>
      <c r="E320">
        <v>53</v>
      </c>
      <c r="F320" t="s">
        <v>60</v>
      </c>
      <c r="G320" t="s">
        <v>44</v>
      </c>
      <c r="H320" t="s">
        <v>177</v>
      </c>
      <c r="I320">
        <v>4</v>
      </c>
      <c r="J320">
        <v>299</v>
      </c>
      <c r="K320">
        <v>1196</v>
      </c>
      <c r="L320">
        <v>20</v>
      </c>
      <c r="M320" t="s">
        <v>53</v>
      </c>
      <c r="N320" t="s">
        <v>47</v>
      </c>
      <c r="O320" t="s">
        <v>24</v>
      </c>
      <c r="P320" t="s">
        <v>40</v>
      </c>
    </row>
    <row r="321" spans="1:16" x14ac:dyDescent="0.25">
      <c r="A321" t="s">
        <v>509</v>
      </c>
      <c r="B321" s="2">
        <v>45990</v>
      </c>
      <c r="C321" t="s">
        <v>224</v>
      </c>
      <c r="D321" t="s">
        <v>35</v>
      </c>
      <c r="E321">
        <v>25</v>
      </c>
      <c r="F321" t="s">
        <v>60</v>
      </c>
      <c r="G321" t="s">
        <v>44</v>
      </c>
      <c r="H321" t="s">
        <v>177</v>
      </c>
      <c r="I321">
        <v>2</v>
      </c>
      <c r="J321">
        <v>2499</v>
      </c>
      <c r="K321">
        <v>4998</v>
      </c>
      <c r="L321">
        <v>20</v>
      </c>
      <c r="M321" t="s">
        <v>22</v>
      </c>
      <c r="N321" t="s">
        <v>61</v>
      </c>
      <c r="O321" t="s">
        <v>48</v>
      </c>
      <c r="P321" t="s">
        <v>103</v>
      </c>
    </row>
    <row r="322" spans="1:16" x14ac:dyDescent="0.25">
      <c r="A322" t="s">
        <v>510</v>
      </c>
      <c r="B322" s="2">
        <v>45712</v>
      </c>
      <c r="C322" t="s">
        <v>161</v>
      </c>
      <c r="D322" t="s">
        <v>35</v>
      </c>
      <c r="E322">
        <v>27</v>
      </c>
      <c r="F322" t="s">
        <v>98</v>
      </c>
      <c r="G322" t="s">
        <v>44</v>
      </c>
      <c r="H322" t="s">
        <v>99</v>
      </c>
      <c r="I322">
        <v>1</v>
      </c>
      <c r="J322">
        <v>1299</v>
      </c>
      <c r="K322">
        <v>1299</v>
      </c>
      <c r="L322">
        <v>0</v>
      </c>
      <c r="M322" t="s">
        <v>53</v>
      </c>
      <c r="N322" t="s">
        <v>31</v>
      </c>
      <c r="O322" t="s">
        <v>24</v>
      </c>
      <c r="P322" t="s">
        <v>86</v>
      </c>
    </row>
    <row r="323" spans="1:16" x14ac:dyDescent="0.25">
      <c r="A323" t="s">
        <v>511</v>
      </c>
      <c r="B323" s="2">
        <v>45809</v>
      </c>
      <c r="C323" t="s">
        <v>353</v>
      </c>
      <c r="D323" t="s">
        <v>18</v>
      </c>
      <c r="E323">
        <v>40</v>
      </c>
      <c r="F323" t="s">
        <v>51</v>
      </c>
      <c r="G323" t="s">
        <v>44</v>
      </c>
      <c r="H323" t="s">
        <v>235</v>
      </c>
      <c r="I323">
        <v>1</v>
      </c>
      <c r="J323">
        <v>2499</v>
      </c>
      <c r="K323">
        <v>2499</v>
      </c>
      <c r="L323">
        <v>0</v>
      </c>
      <c r="M323" t="s">
        <v>85</v>
      </c>
      <c r="N323" t="s">
        <v>47</v>
      </c>
      <c r="O323" t="s">
        <v>48</v>
      </c>
      <c r="P323" t="s">
        <v>103</v>
      </c>
    </row>
    <row r="324" spans="1:16" x14ac:dyDescent="0.25">
      <c r="A324" t="s">
        <v>512</v>
      </c>
      <c r="B324" s="2">
        <v>45805</v>
      </c>
      <c r="C324" t="s">
        <v>153</v>
      </c>
      <c r="D324" t="s">
        <v>18</v>
      </c>
      <c r="E324">
        <v>42</v>
      </c>
      <c r="F324" t="s">
        <v>28</v>
      </c>
      <c r="G324" t="s">
        <v>36</v>
      </c>
      <c r="H324" t="s">
        <v>102</v>
      </c>
      <c r="I324">
        <v>5</v>
      </c>
      <c r="J324">
        <v>2499</v>
      </c>
      <c r="K324">
        <v>12495</v>
      </c>
      <c r="L324">
        <v>15</v>
      </c>
      <c r="M324" t="s">
        <v>46</v>
      </c>
      <c r="N324" t="s">
        <v>23</v>
      </c>
      <c r="O324" t="s">
        <v>24</v>
      </c>
      <c r="P324" t="s">
        <v>70</v>
      </c>
    </row>
    <row r="325" spans="1:16" x14ac:dyDescent="0.25">
      <c r="A325" t="s">
        <v>513</v>
      </c>
      <c r="B325" s="2">
        <v>45982</v>
      </c>
      <c r="C325" t="s">
        <v>257</v>
      </c>
      <c r="D325" t="s">
        <v>35</v>
      </c>
      <c r="E325">
        <v>55</v>
      </c>
      <c r="F325" t="s">
        <v>76</v>
      </c>
      <c r="G325" t="s">
        <v>29</v>
      </c>
      <c r="H325" t="s">
        <v>200</v>
      </c>
      <c r="I325">
        <v>4</v>
      </c>
      <c r="J325">
        <v>399</v>
      </c>
      <c r="K325">
        <v>1596</v>
      </c>
      <c r="L325">
        <v>5</v>
      </c>
      <c r="M325" t="s">
        <v>46</v>
      </c>
      <c r="N325" t="s">
        <v>61</v>
      </c>
      <c r="O325" t="s">
        <v>24</v>
      </c>
      <c r="P325" t="s">
        <v>25</v>
      </c>
    </row>
    <row r="326" spans="1:16" x14ac:dyDescent="0.25">
      <c r="A326" t="s">
        <v>514</v>
      </c>
      <c r="B326" s="2">
        <v>45851</v>
      </c>
      <c r="C326" t="s">
        <v>192</v>
      </c>
      <c r="D326" t="s">
        <v>35</v>
      </c>
      <c r="E326">
        <v>35</v>
      </c>
      <c r="F326" t="s">
        <v>43</v>
      </c>
      <c r="G326" t="s">
        <v>29</v>
      </c>
      <c r="H326" t="s">
        <v>30</v>
      </c>
      <c r="I326">
        <v>5</v>
      </c>
      <c r="J326">
        <v>249</v>
      </c>
      <c r="K326">
        <v>1245</v>
      </c>
      <c r="L326">
        <v>5</v>
      </c>
      <c r="M326" t="s">
        <v>53</v>
      </c>
      <c r="N326" t="s">
        <v>31</v>
      </c>
      <c r="O326" t="s">
        <v>24</v>
      </c>
      <c r="P326" t="s">
        <v>57</v>
      </c>
    </row>
    <row r="327" spans="1:16" x14ac:dyDescent="0.25">
      <c r="A327" t="s">
        <v>515</v>
      </c>
      <c r="B327" s="2">
        <v>45823</v>
      </c>
      <c r="C327" t="s">
        <v>270</v>
      </c>
      <c r="D327" t="s">
        <v>18</v>
      </c>
      <c r="E327">
        <v>58</v>
      </c>
      <c r="F327" t="s">
        <v>43</v>
      </c>
      <c r="G327" t="s">
        <v>36</v>
      </c>
      <c r="H327" t="s">
        <v>102</v>
      </c>
      <c r="I327">
        <v>1</v>
      </c>
      <c r="J327">
        <v>299</v>
      </c>
      <c r="K327">
        <v>299</v>
      </c>
      <c r="L327">
        <v>15</v>
      </c>
      <c r="M327" t="s">
        <v>85</v>
      </c>
      <c r="N327" t="s">
        <v>31</v>
      </c>
      <c r="O327" t="s">
        <v>24</v>
      </c>
      <c r="P327" t="s">
        <v>57</v>
      </c>
    </row>
    <row r="328" spans="1:16" x14ac:dyDescent="0.25">
      <c r="A328" t="s">
        <v>516</v>
      </c>
      <c r="B328" s="2">
        <v>45692</v>
      </c>
      <c r="C328" t="s">
        <v>370</v>
      </c>
      <c r="D328" t="s">
        <v>18</v>
      </c>
      <c r="E328">
        <v>44</v>
      </c>
      <c r="F328" t="s">
        <v>28</v>
      </c>
      <c r="G328" t="s">
        <v>68</v>
      </c>
      <c r="H328" t="s">
        <v>137</v>
      </c>
      <c r="I328">
        <v>2</v>
      </c>
      <c r="J328">
        <v>1299</v>
      </c>
      <c r="K328">
        <v>2598</v>
      </c>
      <c r="L328">
        <v>0</v>
      </c>
      <c r="M328" t="s">
        <v>46</v>
      </c>
      <c r="N328" t="s">
        <v>47</v>
      </c>
      <c r="O328" t="s">
        <v>24</v>
      </c>
      <c r="P328" t="s">
        <v>57</v>
      </c>
    </row>
    <row r="329" spans="1:16" x14ac:dyDescent="0.25">
      <c r="A329" t="s">
        <v>517</v>
      </c>
      <c r="B329" s="2">
        <v>45974</v>
      </c>
      <c r="C329" t="s">
        <v>286</v>
      </c>
      <c r="D329" t="s">
        <v>35</v>
      </c>
      <c r="E329">
        <v>53</v>
      </c>
      <c r="F329" t="s">
        <v>98</v>
      </c>
      <c r="G329" t="s">
        <v>44</v>
      </c>
      <c r="H329" t="s">
        <v>177</v>
      </c>
      <c r="I329">
        <v>3</v>
      </c>
      <c r="J329">
        <v>399</v>
      </c>
      <c r="K329">
        <v>1197</v>
      </c>
      <c r="L329">
        <v>0</v>
      </c>
      <c r="M329" t="s">
        <v>46</v>
      </c>
      <c r="N329" t="s">
        <v>61</v>
      </c>
      <c r="O329" t="s">
        <v>24</v>
      </c>
      <c r="P329" t="s">
        <v>40</v>
      </c>
    </row>
    <row r="330" spans="1:16" x14ac:dyDescent="0.25">
      <c r="A330" t="s">
        <v>518</v>
      </c>
      <c r="B330" s="2">
        <v>45822</v>
      </c>
      <c r="C330" t="s">
        <v>42</v>
      </c>
      <c r="D330" t="s">
        <v>18</v>
      </c>
      <c r="E330">
        <v>42</v>
      </c>
      <c r="F330" t="s">
        <v>43</v>
      </c>
      <c r="G330" t="s">
        <v>68</v>
      </c>
      <c r="H330" t="s">
        <v>137</v>
      </c>
      <c r="I330">
        <v>1</v>
      </c>
      <c r="J330">
        <v>1999</v>
      </c>
      <c r="K330">
        <v>1999</v>
      </c>
      <c r="L330">
        <v>20</v>
      </c>
      <c r="M330" t="s">
        <v>46</v>
      </c>
      <c r="N330" t="s">
        <v>23</v>
      </c>
      <c r="O330" t="s">
        <v>48</v>
      </c>
      <c r="P330" t="s">
        <v>125</v>
      </c>
    </row>
    <row r="331" spans="1:16" x14ac:dyDescent="0.25">
      <c r="A331" t="s">
        <v>519</v>
      </c>
      <c r="B331" s="2">
        <v>45680</v>
      </c>
      <c r="C331" t="s">
        <v>180</v>
      </c>
      <c r="D331" t="s">
        <v>18</v>
      </c>
      <c r="E331">
        <v>38</v>
      </c>
      <c r="F331" t="s">
        <v>19</v>
      </c>
      <c r="G331" t="s">
        <v>68</v>
      </c>
      <c r="H331" t="s">
        <v>94</v>
      </c>
      <c r="I331">
        <v>4</v>
      </c>
      <c r="J331">
        <v>999</v>
      </c>
      <c r="K331">
        <v>3996</v>
      </c>
      <c r="L331">
        <v>0</v>
      </c>
      <c r="M331" t="s">
        <v>53</v>
      </c>
      <c r="N331" t="s">
        <v>23</v>
      </c>
      <c r="O331" t="s">
        <v>48</v>
      </c>
      <c r="P331" t="s">
        <v>25</v>
      </c>
    </row>
    <row r="332" spans="1:16" x14ac:dyDescent="0.25">
      <c r="A332" t="s">
        <v>520</v>
      </c>
      <c r="B332" s="2">
        <v>45763</v>
      </c>
      <c r="C332" t="s">
        <v>56</v>
      </c>
      <c r="D332" t="s">
        <v>35</v>
      </c>
      <c r="E332">
        <v>59</v>
      </c>
      <c r="F332" t="s">
        <v>19</v>
      </c>
      <c r="G332" t="s">
        <v>29</v>
      </c>
      <c r="H332" t="s">
        <v>30</v>
      </c>
      <c r="I332">
        <v>0</v>
      </c>
      <c r="J332">
        <v>249</v>
      </c>
      <c r="K332">
        <v>996</v>
      </c>
      <c r="L332">
        <v>5</v>
      </c>
      <c r="M332" t="s">
        <v>38</v>
      </c>
      <c r="N332" t="s">
        <v>61</v>
      </c>
      <c r="O332" t="s">
        <v>48</v>
      </c>
      <c r="P332" t="s">
        <v>57</v>
      </c>
    </row>
    <row r="333" spans="1:16" x14ac:dyDescent="0.25">
      <c r="A333" t="s">
        <v>521</v>
      </c>
      <c r="B333" s="2">
        <v>45749</v>
      </c>
      <c r="C333" t="s">
        <v>197</v>
      </c>
      <c r="D333" t="s">
        <v>18</v>
      </c>
      <c r="E333">
        <v>54</v>
      </c>
      <c r="F333" t="s">
        <v>76</v>
      </c>
      <c r="G333" t="s">
        <v>20</v>
      </c>
      <c r="H333" t="s">
        <v>21</v>
      </c>
      <c r="I333">
        <v>1</v>
      </c>
      <c r="J333">
        <v>199</v>
      </c>
      <c r="K333">
        <v>199</v>
      </c>
      <c r="L333">
        <v>10</v>
      </c>
      <c r="M333" t="s">
        <v>22</v>
      </c>
      <c r="N333" t="s">
        <v>61</v>
      </c>
      <c r="O333" t="s">
        <v>39</v>
      </c>
      <c r="P333" t="s">
        <v>157</v>
      </c>
    </row>
    <row r="334" spans="1:16" x14ac:dyDescent="0.25">
      <c r="A334" t="s">
        <v>522</v>
      </c>
      <c r="B334" s="2">
        <v>46002</v>
      </c>
      <c r="C334" t="s">
        <v>88</v>
      </c>
      <c r="D334" t="s">
        <v>18</v>
      </c>
      <c r="E334">
        <v>59</v>
      </c>
      <c r="F334" t="s">
        <v>19</v>
      </c>
      <c r="G334" t="s">
        <v>36</v>
      </c>
      <c r="H334" t="s">
        <v>37</v>
      </c>
      <c r="I334">
        <v>1</v>
      </c>
      <c r="J334">
        <v>799</v>
      </c>
      <c r="K334">
        <v>799</v>
      </c>
      <c r="L334">
        <v>20</v>
      </c>
      <c r="M334" t="s">
        <v>38</v>
      </c>
      <c r="N334" t="s">
        <v>23</v>
      </c>
      <c r="O334" t="s">
        <v>39</v>
      </c>
      <c r="P334" t="s">
        <v>78</v>
      </c>
    </row>
    <row r="335" spans="1:16" x14ac:dyDescent="0.25">
      <c r="A335" t="s">
        <v>523</v>
      </c>
      <c r="B335" s="2">
        <v>45702</v>
      </c>
      <c r="C335" t="s">
        <v>116</v>
      </c>
      <c r="D335" t="s">
        <v>35</v>
      </c>
      <c r="E335">
        <v>42</v>
      </c>
      <c r="F335" t="s">
        <v>28</v>
      </c>
      <c r="G335" t="s">
        <v>20</v>
      </c>
      <c r="H335" t="s">
        <v>77</v>
      </c>
      <c r="I335">
        <v>3</v>
      </c>
      <c r="J335">
        <v>1499</v>
      </c>
      <c r="K335">
        <v>4497</v>
      </c>
      <c r="L335">
        <v>0</v>
      </c>
      <c r="M335" t="s">
        <v>22</v>
      </c>
      <c r="N335" t="s">
        <v>47</v>
      </c>
      <c r="O335" t="s">
        <v>48</v>
      </c>
      <c r="P335" t="s">
        <v>89</v>
      </c>
    </row>
    <row r="336" spans="1:16" x14ac:dyDescent="0.25">
      <c r="A336" t="s">
        <v>524</v>
      </c>
      <c r="B336" s="2">
        <v>45982</v>
      </c>
      <c r="C336" t="s">
        <v>319</v>
      </c>
      <c r="D336" t="s">
        <v>35</v>
      </c>
      <c r="E336">
        <v>59</v>
      </c>
      <c r="F336" t="s">
        <v>60</v>
      </c>
      <c r="G336" t="s">
        <v>29</v>
      </c>
      <c r="H336" t="s">
        <v>140</v>
      </c>
      <c r="I336">
        <v>5</v>
      </c>
      <c r="J336">
        <v>499</v>
      </c>
      <c r="K336">
        <v>2495</v>
      </c>
      <c r="L336">
        <v>0</v>
      </c>
      <c r="M336" t="s">
        <v>85</v>
      </c>
      <c r="N336" t="s">
        <v>47</v>
      </c>
      <c r="O336" t="s">
        <v>24</v>
      </c>
      <c r="P336" t="s">
        <v>117</v>
      </c>
    </row>
    <row r="337" spans="1:16" x14ac:dyDescent="0.25">
      <c r="A337" t="s">
        <v>525</v>
      </c>
      <c r="B337" s="2">
        <v>45933</v>
      </c>
      <c r="C337" t="s">
        <v>97</v>
      </c>
      <c r="D337" t="s">
        <v>18</v>
      </c>
      <c r="E337">
        <v>37</v>
      </c>
      <c r="F337" t="s">
        <v>76</v>
      </c>
      <c r="G337" t="s">
        <v>20</v>
      </c>
      <c r="H337" t="s">
        <v>81</v>
      </c>
      <c r="I337">
        <v>5</v>
      </c>
      <c r="J337">
        <v>799</v>
      </c>
      <c r="K337">
        <v>3995</v>
      </c>
      <c r="L337">
        <v>10</v>
      </c>
      <c r="M337" t="s">
        <v>53</v>
      </c>
      <c r="N337" t="s">
        <v>61</v>
      </c>
      <c r="O337" t="s">
        <v>48</v>
      </c>
      <c r="P337" t="s">
        <v>78</v>
      </c>
    </row>
    <row r="338" spans="1:16" x14ac:dyDescent="0.25">
      <c r="A338" t="s">
        <v>526</v>
      </c>
      <c r="B338" s="2">
        <v>45973</v>
      </c>
      <c r="C338" t="s">
        <v>197</v>
      </c>
      <c r="D338" t="s">
        <v>18</v>
      </c>
      <c r="E338">
        <v>25</v>
      </c>
      <c r="F338" t="s">
        <v>124</v>
      </c>
      <c r="G338" t="s">
        <v>29</v>
      </c>
      <c r="H338" t="s">
        <v>30</v>
      </c>
      <c r="I338">
        <v>2</v>
      </c>
      <c r="J338">
        <v>399</v>
      </c>
      <c r="K338">
        <v>798</v>
      </c>
      <c r="L338">
        <v>20</v>
      </c>
      <c r="M338" t="s">
        <v>38</v>
      </c>
      <c r="N338" t="s">
        <v>61</v>
      </c>
      <c r="O338" t="s">
        <v>48</v>
      </c>
      <c r="P338" t="s">
        <v>103</v>
      </c>
    </row>
    <row r="339" spans="1:16" x14ac:dyDescent="0.25">
      <c r="A339" t="s">
        <v>527</v>
      </c>
      <c r="B339" s="2">
        <v>45708</v>
      </c>
      <c r="C339" t="s">
        <v>280</v>
      </c>
      <c r="D339" t="s">
        <v>35</v>
      </c>
      <c r="E339">
        <v>39</v>
      </c>
      <c r="F339" t="s">
        <v>60</v>
      </c>
      <c r="G339" t="s">
        <v>20</v>
      </c>
      <c r="H339" t="s">
        <v>77</v>
      </c>
      <c r="I339">
        <v>1</v>
      </c>
      <c r="J339">
        <v>499</v>
      </c>
      <c r="K339">
        <v>499</v>
      </c>
      <c r="L339">
        <v>5</v>
      </c>
      <c r="M339" t="s">
        <v>53</v>
      </c>
      <c r="N339" t="s">
        <v>23</v>
      </c>
      <c r="O339" t="s">
        <v>39</v>
      </c>
      <c r="P339" t="s">
        <v>40</v>
      </c>
    </row>
    <row r="340" spans="1:16" x14ac:dyDescent="0.25">
      <c r="A340" t="s">
        <v>528</v>
      </c>
      <c r="B340" s="2">
        <v>45888</v>
      </c>
      <c r="C340" t="s">
        <v>119</v>
      </c>
      <c r="D340" t="s">
        <v>35</v>
      </c>
      <c r="E340">
        <v>55</v>
      </c>
      <c r="F340" t="s">
        <v>124</v>
      </c>
      <c r="G340" t="s">
        <v>20</v>
      </c>
      <c r="H340" t="s">
        <v>52</v>
      </c>
      <c r="I340">
        <v>3</v>
      </c>
      <c r="J340">
        <v>999</v>
      </c>
      <c r="K340">
        <v>2997</v>
      </c>
      <c r="L340">
        <v>20</v>
      </c>
      <c r="M340" t="s">
        <v>85</v>
      </c>
      <c r="N340" t="s">
        <v>31</v>
      </c>
      <c r="O340" t="s">
        <v>39</v>
      </c>
      <c r="P340" t="s">
        <v>134</v>
      </c>
    </row>
    <row r="341" spans="1:16" x14ac:dyDescent="0.25">
      <c r="A341" t="s">
        <v>529</v>
      </c>
      <c r="B341" s="2">
        <v>45771</v>
      </c>
      <c r="C341" t="s">
        <v>299</v>
      </c>
      <c r="D341" t="s">
        <v>35</v>
      </c>
      <c r="E341">
        <v>35</v>
      </c>
      <c r="F341" t="s">
        <v>60</v>
      </c>
      <c r="G341" t="s">
        <v>29</v>
      </c>
      <c r="H341" t="s">
        <v>108</v>
      </c>
      <c r="I341">
        <v>3</v>
      </c>
      <c r="J341">
        <v>399</v>
      </c>
      <c r="K341">
        <v>1197</v>
      </c>
      <c r="L341">
        <v>5</v>
      </c>
      <c r="M341" t="s">
        <v>46</v>
      </c>
      <c r="N341" t="s">
        <v>61</v>
      </c>
      <c r="O341" t="s">
        <v>39</v>
      </c>
      <c r="P341" t="s">
        <v>62</v>
      </c>
    </row>
    <row r="342" spans="1:16" x14ac:dyDescent="0.25">
      <c r="A342" t="s">
        <v>530</v>
      </c>
      <c r="B342" s="2">
        <v>45713</v>
      </c>
      <c r="C342" t="s">
        <v>224</v>
      </c>
      <c r="D342" t="s">
        <v>18</v>
      </c>
      <c r="E342">
        <v>35</v>
      </c>
      <c r="F342" t="s">
        <v>124</v>
      </c>
      <c r="G342" t="s">
        <v>44</v>
      </c>
      <c r="H342" t="s">
        <v>177</v>
      </c>
      <c r="I342">
        <v>4</v>
      </c>
      <c r="J342">
        <v>1299</v>
      </c>
      <c r="K342">
        <v>5196</v>
      </c>
      <c r="L342">
        <v>20</v>
      </c>
      <c r="M342" t="s">
        <v>53</v>
      </c>
      <c r="N342" t="s">
        <v>31</v>
      </c>
      <c r="O342" t="s">
        <v>48</v>
      </c>
      <c r="P342" t="s">
        <v>25</v>
      </c>
    </row>
    <row r="343" spans="1:16" x14ac:dyDescent="0.25">
      <c r="A343" t="s">
        <v>531</v>
      </c>
      <c r="B343" s="2">
        <v>45673</v>
      </c>
      <c r="C343" t="s">
        <v>110</v>
      </c>
      <c r="D343" t="s">
        <v>35</v>
      </c>
      <c r="E343">
        <v>55</v>
      </c>
      <c r="F343" t="s">
        <v>76</v>
      </c>
      <c r="G343" t="s">
        <v>20</v>
      </c>
      <c r="H343" t="s">
        <v>21</v>
      </c>
      <c r="I343">
        <v>5</v>
      </c>
      <c r="J343">
        <v>1999</v>
      </c>
      <c r="K343">
        <v>9995</v>
      </c>
      <c r="L343">
        <v>0</v>
      </c>
      <c r="M343" t="s">
        <v>85</v>
      </c>
      <c r="N343" t="s">
        <v>31</v>
      </c>
      <c r="O343" t="s">
        <v>48</v>
      </c>
      <c r="P343" t="s">
        <v>103</v>
      </c>
    </row>
    <row r="344" spans="1:16" x14ac:dyDescent="0.25">
      <c r="A344" t="s">
        <v>532</v>
      </c>
      <c r="B344" s="2">
        <v>45772</v>
      </c>
      <c r="C344" t="s">
        <v>155</v>
      </c>
      <c r="D344" t="s">
        <v>35</v>
      </c>
      <c r="E344">
        <v>26</v>
      </c>
      <c r="F344" t="s">
        <v>51</v>
      </c>
      <c r="G344" t="s">
        <v>36</v>
      </c>
      <c r="H344" t="s">
        <v>102</v>
      </c>
      <c r="I344">
        <v>3</v>
      </c>
      <c r="J344">
        <v>799</v>
      </c>
      <c r="K344">
        <v>2397</v>
      </c>
      <c r="L344">
        <v>20</v>
      </c>
      <c r="M344" t="s">
        <v>85</v>
      </c>
      <c r="N344" t="s">
        <v>23</v>
      </c>
      <c r="O344" t="s">
        <v>39</v>
      </c>
      <c r="P344" t="s">
        <v>125</v>
      </c>
    </row>
    <row r="345" spans="1:16" x14ac:dyDescent="0.25">
      <c r="A345" t="s">
        <v>533</v>
      </c>
      <c r="B345" s="2">
        <v>46008</v>
      </c>
      <c r="C345" t="s">
        <v>414</v>
      </c>
      <c r="D345" t="s">
        <v>18</v>
      </c>
      <c r="E345">
        <v>46</v>
      </c>
      <c r="F345" t="s">
        <v>124</v>
      </c>
      <c r="G345" t="s">
        <v>68</v>
      </c>
      <c r="H345" t="s">
        <v>73</v>
      </c>
      <c r="I345">
        <v>2</v>
      </c>
      <c r="J345">
        <v>1499</v>
      </c>
      <c r="K345">
        <v>2998</v>
      </c>
      <c r="L345">
        <v>5</v>
      </c>
      <c r="M345" t="s">
        <v>85</v>
      </c>
      <c r="N345" t="s">
        <v>47</v>
      </c>
      <c r="O345" t="s">
        <v>48</v>
      </c>
      <c r="P345" t="s">
        <v>82</v>
      </c>
    </row>
    <row r="346" spans="1:16" x14ac:dyDescent="0.25">
      <c r="A346" t="s">
        <v>534</v>
      </c>
      <c r="B346" s="2">
        <v>45776</v>
      </c>
      <c r="C346" t="s">
        <v>107</v>
      </c>
      <c r="D346" t="s">
        <v>35</v>
      </c>
      <c r="E346">
        <v>41</v>
      </c>
      <c r="F346" t="s">
        <v>76</v>
      </c>
      <c r="G346" t="s">
        <v>44</v>
      </c>
      <c r="H346" t="s">
        <v>45</v>
      </c>
      <c r="I346">
        <v>2</v>
      </c>
      <c r="J346">
        <v>999</v>
      </c>
      <c r="K346">
        <v>1998</v>
      </c>
      <c r="L346">
        <v>0</v>
      </c>
      <c r="M346" t="s">
        <v>53</v>
      </c>
      <c r="N346" t="s">
        <v>31</v>
      </c>
      <c r="O346" t="s">
        <v>39</v>
      </c>
      <c r="P346" t="s">
        <v>82</v>
      </c>
    </row>
    <row r="347" spans="1:16" x14ac:dyDescent="0.25">
      <c r="A347" t="s">
        <v>535</v>
      </c>
      <c r="B347" s="2">
        <v>45823</v>
      </c>
      <c r="C347" t="s">
        <v>75</v>
      </c>
      <c r="D347" t="s">
        <v>35</v>
      </c>
      <c r="E347">
        <v>34</v>
      </c>
      <c r="F347" t="s">
        <v>124</v>
      </c>
      <c r="G347" t="s">
        <v>36</v>
      </c>
      <c r="H347" t="s">
        <v>156</v>
      </c>
      <c r="I347">
        <v>1</v>
      </c>
      <c r="J347">
        <v>1999</v>
      </c>
      <c r="K347">
        <v>1999</v>
      </c>
      <c r="L347">
        <v>15</v>
      </c>
      <c r="M347" t="s">
        <v>22</v>
      </c>
      <c r="N347" t="s">
        <v>31</v>
      </c>
      <c r="O347" t="s">
        <v>48</v>
      </c>
      <c r="P347" t="s">
        <v>25</v>
      </c>
    </row>
    <row r="348" spans="1:16" x14ac:dyDescent="0.25">
      <c r="A348" t="s">
        <v>536</v>
      </c>
      <c r="B348" s="2">
        <v>45922</v>
      </c>
      <c r="C348" t="s">
        <v>129</v>
      </c>
      <c r="D348" t="s">
        <v>35</v>
      </c>
      <c r="E348">
        <v>40</v>
      </c>
      <c r="F348" t="s">
        <v>51</v>
      </c>
      <c r="G348" t="s">
        <v>68</v>
      </c>
      <c r="H348" t="s">
        <v>171</v>
      </c>
      <c r="I348">
        <v>4</v>
      </c>
      <c r="J348">
        <v>399</v>
      </c>
      <c r="K348">
        <v>1596</v>
      </c>
      <c r="L348">
        <v>15</v>
      </c>
      <c r="M348" t="s">
        <v>85</v>
      </c>
      <c r="N348" t="s">
        <v>23</v>
      </c>
      <c r="O348" t="s">
        <v>48</v>
      </c>
      <c r="P348" t="s">
        <v>65</v>
      </c>
    </row>
    <row r="349" spans="1:16" x14ac:dyDescent="0.25">
      <c r="A349" t="s">
        <v>537</v>
      </c>
      <c r="B349" s="2">
        <v>45921</v>
      </c>
      <c r="C349" t="s">
        <v>229</v>
      </c>
      <c r="D349" t="s">
        <v>35</v>
      </c>
      <c r="E349">
        <v>31</v>
      </c>
      <c r="F349" t="s">
        <v>124</v>
      </c>
      <c r="G349" t="s">
        <v>36</v>
      </c>
      <c r="H349" t="s">
        <v>102</v>
      </c>
      <c r="I349">
        <v>2</v>
      </c>
      <c r="J349">
        <v>249</v>
      </c>
      <c r="K349">
        <v>498</v>
      </c>
      <c r="L349">
        <v>5</v>
      </c>
      <c r="M349" t="s">
        <v>53</v>
      </c>
      <c r="N349" t="s">
        <v>31</v>
      </c>
      <c r="O349" t="s">
        <v>48</v>
      </c>
      <c r="P349" t="s">
        <v>203</v>
      </c>
    </row>
    <row r="350" spans="1:16" x14ac:dyDescent="0.25">
      <c r="A350" t="s">
        <v>538</v>
      </c>
      <c r="B350" s="2">
        <v>45716</v>
      </c>
      <c r="C350" t="s">
        <v>182</v>
      </c>
      <c r="D350" t="s">
        <v>35</v>
      </c>
      <c r="E350">
        <v>48</v>
      </c>
      <c r="F350" t="s">
        <v>76</v>
      </c>
      <c r="G350" t="s">
        <v>29</v>
      </c>
      <c r="H350" t="s">
        <v>140</v>
      </c>
      <c r="I350">
        <v>3</v>
      </c>
      <c r="J350">
        <v>2499</v>
      </c>
      <c r="K350">
        <v>7497</v>
      </c>
      <c r="L350">
        <v>20</v>
      </c>
      <c r="M350" t="s">
        <v>53</v>
      </c>
      <c r="N350" t="s">
        <v>61</v>
      </c>
      <c r="O350" t="s">
        <v>24</v>
      </c>
      <c r="P350" t="s">
        <v>89</v>
      </c>
    </row>
    <row r="351" spans="1:16" x14ac:dyDescent="0.25">
      <c r="A351" t="s">
        <v>539</v>
      </c>
      <c r="B351" s="2">
        <v>45740</v>
      </c>
      <c r="C351" t="s">
        <v>17</v>
      </c>
      <c r="D351" t="s">
        <v>18</v>
      </c>
      <c r="E351">
        <v>54</v>
      </c>
      <c r="F351" t="s">
        <v>124</v>
      </c>
      <c r="G351" t="s">
        <v>20</v>
      </c>
      <c r="H351" t="s">
        <v>52</v>
      </c>
      <c r="I351">
        <v>5</v>
      </c>
      <c r="J351">
        <v>1499</v>
      </c>
      <c r="K351">
        <v>7495</v>
      </c>
      <c r="L351">
        <v>0</v>
      </c>
      <c r="M351" t="s">
        <v>53</v>
      </c>
      <c r="N351" t="s">
        <v>31</v>
      </c>
      <c r="O351" t="s">
        <v>24</v>
      </c>
      <c r="P351" t="s">
        <v>78</v>
      </c>
    </row>
    <row r="352" spans="1:16" x14ac:dyDescent="0.25">
      <c r="A352" t="s">
        <v>540</v>
      </c>
      <c r="B352" s="2">
        <v>45667</v>
      </c>
      <c r="C352" t="s">
        <v>147</v>
      </c>
      <c r="D352" t="s">
        <v>35</v>
      </c>
      <c r="E352">
        <v>23</v>
      </c>
      <c r="F352" t="s">
        <v>76</v>
      </c>
      <c r="G352" t="s">
        <v>36</v>
      </c>
      <c r="H352" t="s">
        <v>133</v>
      </c>
      <c r="I352">
        <v>5</v>
      </c>
      <c r="J352">
        <v>1999</v>
      </c>
      <c r="K352">
        <v>9995</v>
      </c>
      <c r="L352">
        <v>15</v>
      </c>
      <c r="M352" t="s">
        <v>85</v>
      </c>
      <c r="N352" t="s">
        <v>61</v>
      </c>
      <c r="O352" t="s">
        <v>39</v>
      </c>
      <c r="P352" t="s">
        <v>32</v>
      </c>
    </row>
    <row r="353" spans="1:16" x14ac:dyDescent="0.25">
      <c r="A353" t="s">
        <v>541</v>
      </c>
      <c r="B353" s="2">
        <v>45956</v>
      </c>
      <c r="C353" t="s">
        <v>155</v>
      </c>
      <c r="D353" t="s">
        <v>18</v>
      </c>
      <c r="E353">
        <v>57</v>
      </c>
      <c r="F353" t="s">
        <v>43</v>
      </c>
      <c r="G353" t="s">
        <v>29</v>
      </c>
      <c r="H353" t="s">
        <v>140</v>
      </c>
      <c r="I353">
        <v>5</v>
      </c>
      <c r="J353">
        <v>299</v>
      </c>
      <c r="K353">
        <v>1495</v>
      </c>
      <c r="L353">
        <v>5</v>
      </c>
      <c r="M353" t="s">
        <v>46</v>
      </c>
      <c r="N353" t="s">
        <v>61</v>
      </c>
      <c r="O353" t="s">
        <v>48</v>
      </c>
      <c r="P353" t="s">
        <v>193</v>
      </c>
    </row>
    <row r="354" spans="1:16" x14ac:dyDescent="0.25">
      <c r="A354" t="s">
        <v>542</v>
      </c>
      <c r="B354" s="2">
        <v>45725</v>
      </c>
      <c r="C354" t="s">
        <v>75</v>
      </c>
      <c r="D354" t="s">
        <v>18</v>
      </c>
      <c r="E354">
        <v>30</v>
      </c>
      <c r="F354" t="s">
        <v>28</v>
      </c>
      <c r="G354" t="s">
        <v>20</v>
      </c>
      <c r="H354" t="s">
        <v>52</v>
      </c>
      <c r="I354">
        <v>4</v>
      </c>
      <c r="J354">
        <v>799</v>
      </c>
      <c r="K354">
        <v>3196</v>
      </c>
      <c r="L354">
        <v>5</v>
      </c>
      <c r="M354" t="s">
        <v>85</v>
      </c>
      <c r="N354" t="s">
        <v>23</v>
      </c>
      <c r="O354" t="s">
        <v>24</v>
      </c>
      <c r="P354" t="s">
        <v>82</v>
      </c>
    </row>
    <row r="355" spans="1:16" x14ac:dyDescent="0.25">
      <c r="A355" t="s">
        <v>543</v>
      </c>
      <c r="B355" s="2">
        <v>45915</v>
      </c>
      <c r="C355" t="s">
        <v>72</v>
      </c>
      <c r="D355" t="s">
        <v>18</v>
      </c>
      <c r="E355">
        <v>23</v>
      </c>
      <c r="F355" t="s">
        <v>51</v>
      </c>
      <c r="G355" t="s">
        <v>68</v>
      </c>
      <c r="H355" t="s">
        <v>94</v>
      </c>
      <c r="I355">
        <v>1</v>
      </c>
      <c r="J355">
        <v>1299</v>
      </c>
      <c r="K355">
        <v>1299</v>
      </c>
      <c r="L355">
        <v>5</v>
      </c>
      <c r="M355" t="s">
        <v>85</v>
      </c>
      <c r="N355" t="s">
        <v>23</v>
      </c>
      <c r="O355" t="s">
        <v>48</v>
      </c>
      <c r="P355" t="s">
        <v>134</v>
      </c>
    </row>
    <row r="356" spans="1:16" x14ac:dyDescent="0.25">
      <c r="A356" t="s">
        <v>544</v>
      </c>
      <c r="B356" s="2">
        <v>46015</v>
      </c>
      <c r="C356" t="s">
        <v>286</v>
      </c>
      <c r="D356" t="s">
        <v>35</v>
      </c>
      <c r="E356">
        <v>32</v>
      </c>
      <c r="F356" t="s">
        <v>51</v>
      </c>
      <c r="G356" t="s">
        <v>68</v>
      </c>
      <c r="H356" t="s">
        <v>69</v>
      </c>
      <c r="I356">
        <v>3</v>
      </c>
      <c r="J356">
        <v>199</v>
      </c>
      <c r="K356">
        <v>597</v>
      </c>
      <c r="L356">
        <v>15</v>
      </c>
      <c r="M356" t="s">
        <v>46</v>
      </c>
      <c r="N356" t="s">
        <v>23</v>
      </c>
      <c r="O356" t="s">
        <v>39</v>
      </c>
      <c r="P356" t="s">
        <v>65</v>
      </c>
    </row>
    <row r="357" spans="1:16" x14ac:dyDescent="0.25">
      <c r="A357" t="s">
        <v>545</v>
      </c>
      <c r="B357" s="2">
        <v>45803</v>
      </c>
      <c r="C357" t="s">
        <v>270</v>
      </c>
      <c r="D357" t="s">
        <v>35</v>
      </c>
      <c r="E357">
        <v>34</v>
      </c>
      <c r="F357" t="s">
        <v>76</v>
      </c>
      <c r="G357" t="s">
        <v>44</v>
      </c>
      <c r="H357" t="s">
        <v>99</v>
      </c>
      <c r="I357">
        <v>2</v>
      </c>
      <c r="J357">
        <v>249</v>
      </c>
      <c r="K357">
        <v>498</v>
      </c>
      <c r="L357">
        <v>0</v>
      </c>
      <c r="M357" t="s">
        <v>38</v>
      </c>
      <c r="N357" t="s">
        <v>23</v>
      </c>
      <c r="O357" t="s">
        <v>48</v>
      </c>
      <c r="P357" t="s">
        <v>121</v>
      </c>
    </row>
    <row r="358" spans="1:16" x14ac:dyDescent="0.25">
      <c r="A358" t="s">
        <v>546</v>
      </c>
      <c r="B358" s="2">
        <v>45843</v>
      </c>
      <c r="C358" t="s">
        <v>75</v>
      </c>
      <c r="D358" t="s">
        <v>18</v>
      </c>
      <c r="E358">
        <v>45</v>
      </c>
      <c r="F358" t="s">
        <v>43</v>
      </c>
      <c r="G358" t="s">
        <v>36</v>
      </c>
      <c r="H358" t="s">
        <v>102</v>
      </c>
      <c r="I358">
        <v>3</v>
      </c>
      <c r="J358">
        <v>799</v>
      </c>
      <c r="K358">
        <v>2397</v>
      </c>
      <c r="L358">
        <v>10</v>
      </c>
      <c r="M358" t="s">
        <v>85</v>
      </c>
      <c r="N358" t="s">
        <v>61</v>
      </c>
      <c r="O358" t="s">
        <v>48</v>
      </c>
      <c r="P358" t="s">
        <v>125</v>
      </c>
    </row>
    <row r="359" spans="1:16" x14ac:dyDescent="0.25">
      <c r="A359" t="s">
        <v>547</v>
      </c>
      <c r="B359" s="2">
        <v>45869</v>
      </c>
      <c r="C359" t="s">
        <v>97</v>
      </c>
      <c r="D359" t="s">
        <v>35</v>
      </c>
      <c r="E359">
        <v>29</v>
      </c>
      <c r="F359" t="s">
        <v>60</v>
      </c>
      <c r="G359" t="s">
        <v>68</v>
      </c>
      <c r="H359" t="s">
        <v>171</v>
      </c>
      <c r="I359">
        <v>4</v>
      </c>
      <c r="J359">
        <v>399</v>
      </c>
      <c r="K359">
        <v>1596</v>
      </c>
      <c r="L359">
        <v>20</v>
      </c>
      <c r="M359" t="s">
        <v>85</v>
      </c>
      <c r="N359" t="s">
        <v>61</v>
      </c>
      <c r="O359" t="s">
        <v>39</v>
      </c>
      <c r="P359" t="s">
        <v>86</v>
      </c>
    </row>
    <row r="360" spans="1:16" x14ac:dyDescent="0.25">
      <c r="A360" t="s">
        <v>548</v>
      </c>
      <c r="B360" s="2">
        <v>45728</v>
      </c>
      <c r="C360" t="s">
        <v>188</v>
      </c>
      <c r="D360" t="s">
        <v>18</v>
      </c>
      <c r="E360">
        <v>32</v>
      </c>
      <c r="F360" t="s">
        <v>51</v>
      </c>
      <c r="G360" t="s">
        <v>68</v>
      </c>
      <c r="H360" t="s">
        <v>171</v>
      </c>
      <c r="I360">
        <v>4</v>
      </c>
      <c r="J360">
        <v>2499</v>
      </c>
      <c r="K360">
        <v>9996</v>
      </c>
      <c r="L360">
        <v>5</v>
      </c>
      <c r="M360" t="s">
        <v>38</v>
      </c>
      <c r="N360" t="s">
        <v>47</v>
      </c>
      <c r="O360" t="s">
        <v>48</v>
      </c>
      <c r="P360" t="s">
        <v>157</v>
      </c>
    </row>
    <row r="361" spans="1:16" x14ac:dyDescent="0.25">
      <c r="A361" t="s">
        <v>549</v>
      </c>
      <c r="B361" s="2">
        <v>46008</v>
      </c>
      <c r="C361" t="s">
        <v>257</v>
      </c>
      <c r="D361" t="s">
        <v>18</v>
      </c>
      <c r="E361">
        <v>28</v>
      </c>
      <c r="F361" t="s">
        <v>28</v>
      </c>
      <c r="G361" t="s">
        <v>44</v>
      </c>
      <c r="H361" t="s">
        <v>151</v>
      </c>
      <c r="I361">
        <v>5</v>
      </c>
      <c r="J361">
        <v>2499</v>
      </c>
      <c r="K361">
        <v>12495</v>
      </c>
      <c r="L361">
        <v>0</v>
      </c>
      <c r="M361" t="s">
        <v>38</v>
      </c>
      <c r="N361" t="s">
        <v>47</v>
      </c>
      <c r="O361" t="s">
        <v>39</v>
      </c>
      <c r="P361" t="s">
        <v>40</v>
      </c>
    </row>
    <row r="362" spans="1:16" x14ac:dyDescent="0.25">
      <c r="A362" t="s">
        <v>550</v>
      </c>
      <c r="B362" s="2">
        <v>45771</v>
      </c>
      <c r="C362" t="s">
        <v>123</v>
      </c>
      <c r="D362" t="s">
        <v>18</v>
      </c>
      <c r="E362">
        <v>56</v>
      </c>
      <c r="F362" t="s">
        <v>98</v>
      </c>
      <c r="G362" t="s">
        <v>36</v>
      </c>
      <c r="H362" t="s">
        <v>156</v>
      </c>
      <c r="I362">
        <v>1</v>
      </c>
      <c r="J362">
        <v>499</v>
      </c>
      <c r="K362">
        <v>499</v>
      </c>
      <c r="L362">
        <v>15</v>
      </c>
      <c r="M362" t="s">
        <v>22</v>
      </c>
      <c r="N362" t="s">
        <v>31</v>
      </c>
      <c r="O362" t="s">
        <v>48</v>
      </c>
      <c r="P362" t="s">
        <v>40</v>
      </c>
    </row>
    <row r="363" spans="1:16" x14ac:dyDescent="0.25">
      <c r="A363" t="s">
        <v>551</v>
      </c>
      <c r="B363" s="2">
        <v>45663</v>
      </c>
      <c r="C363" t="s">
        <v>280</v>
      </c>
      <c r="D363" t="s">
        <v>35</v>
      </c>
      <c r="E363">
        <v>30</v>
      </c>
      <c r="F363" t="s">
        <v>98</v>
      </c>
      <c r="G363" t="s">
        <v>20</v>
      </c>
      <c r="H363" t="s">
        <v>52</v>
      </c>
      <c r="I363">
        <v>4</v>
      </c>
      <c r="J363">
        <v>999</v>
      </c>
      <c r="K363">
        <v>3996</v>
      </c>
      <c r="L363">
        <v>20</v>
      </c>
      <c r="M363" t="s">
        <v>85</v>
      </c>
      <c r="N363" t="s">
        <v>47</v>
      </c>
      <c r="O363" t="s">
        <v>48</v>
      </c>
      <c r="P363" t="s">
        <v>32</v>
      </c>
    </row>
    <row r="364" spans="1:16" x14ac:dyDescent="0.25">
      <c r="A364" t="s">
        <v>552</v>
      </c>
      <c r="B364" s="2">
        <v>45658</v>
      </c>
      <c r="C364" t="s">
        <v>218</v>
      </c>
      <c r="D364" t="s">
        <v>18</v>
      </c>
      <c r="E364">
        <v>35</v>
      </c>
      <c r="F364" t="s">
        <v>28</v>
      </c>
      <c r="G364" t="s">
        <v>20</v>
      </c>
      <c r="H364" t="s">
        <v>77</v>
      </c>
      <c r="I364">
        <v>2</v>
      </c>
      <c r="J364">
        <v>1999</v>
      </c>
      <c r="K364">
        <v>3998</v>
      </c>
      <c r="L364">
        <v>10</v>
      </c>
      <c r="M364" t="s">
        <v>22</v>
      </c>
      <c r="N364" t="s">
        <v>61</v>
      </c>
      <c r="O364" t="s">
        <v>48</v>
      </c>
      <c r="P364" t="s">
        <v>54</v>
      </c>
    </row>
    <row r="365" spans="1:16" x14ac:dyDescent="0.25">
      <c r="A365" t="s">
        <v>553</v>
      </c>
      <c r="B365" s="2">
        <v>45939</v>
      </c>
      <c r="C365" t="s">
        <v>116</v>
      </c>
      <c r="D365" t="s">
        <v>35</v>
      </c>
      <c r="E365">
        <v>40</v>
      </c>
      <c r="F365" t="s">
        <v>43</v>
      </c>
      <c r="G365" t="s">
        <v>68</v>
      </c>
      <c r="H365" t="s">
        <v>73</v>
      </c>
      <c r="I365">
        <v>1</v>
      </c>
      <c r="J365">
        <v>249</v>
      </c>
      <c r="K365">
        <v>249</v>
      </c>
      <c r="L365">
        <v>5</v>
      </c>
      <c r="M365" t="s">
        <v>85</v>
      </c>
      <c r="N365" t="s">
        <v>47</v>
      </c>
      <c r="O365" t="s">
        <v>39</v>
      </c>
      <c r="P365" t="s">
        <v>157</v>
      </c>
    </row>
    <row r="366" spans="1:16" x14ac:dyDescent="0.25">
      <c r="A366" t="s">
        <v>554</v>
      </c>
      <c r="B366" s="2">
        <v>45866</v>
      </c>
      <c r="C366" t="s">
        <v>370</v>
      </c>
      <c r="D366" t="s">
        <v>18</v>
      </c>
      <c r="E366">
        <v>53</v>
      </c>
      <c r="F366" t="s">
        <v>19</v>
      </c>
      <c r="G366" t="s">
        <v>68</v>
      </c>
      <c r="H366" t="s">
        <v>73</v>
      </c>
      <c r="I366">
        <v>3</v>
      </c>
      <c r="J366">
        <v>299</v>
      </c>
      <c r="K366">
        <v>897</v>
      </c>
      <c r="L366">
        <v>20</v>
      </c>
      <c r="M366" t="s">
        <v>46</v>
      </c>
      <c r="N366" t="s">
        <v>31</v>
      </c>
      <c r="O366" t="s">
        <v>24</v>
      </c>
      <c r="P366" t="s">
        <v>78</v>
      </c>
    </row>
    <row r="367" spans="1:16" x14ac:dyDescent="0.25">
      <c r="A367" t="s">
        <v>555</v>
      </c>
      <c r="B367" s="2">
        <v>46013</v>
      </c>
      <c r="C367" t="s">
        <v>329</v>
      </c>
      <c r="D367" t="s">
        <v>35</v>
      </c>
      <c r="E367">
        <v>54</v>
      </c>
      <c r="F367" t="s">
        <v>51</v>
      </c>
      <c r="G367" t="s">
        <v>44</v>
      </c>
      <c r="H367" t="s">
        <v>151</v>
      </c>
      <c r="I367">
        <v>5</v>
      </c>
      <c r="J367">
        <v>499</v>
      </c>
      <c r="K367">
        <v>2495</v>
      </c>
      <c r="L367">
        <v>5</v>
      </c>
      <c r="M367" t="s">
        <v>46</v>
      </c>
      <c r="N367" t="s">
        <v>61</v>
      </c>
      <c r="O367" t="s">
        <v>48</v>
      </c>
      <c r="P367" t="s">
        <v>62</v>
      </c>
    </row>
    <row r="368" spans="1:16" x14ac:dyDescent="0.25">
      <c r="A368" t="s">
        <v>556</v>
      </c>
      <c r="B368" s="2">
        <v>45790</v>
      </c>
      <c r="C368" t="s">
        <v>107</v>
      </c>
      <c r="D368" t="s">
        <v>35</v>
      </c>
      <c r="E368">
        <v>58</v>
      </c>
      <c r="F368" t="s">
        <v>76</v>
      </c>
      <c r="G368" t="s">
        <v>68</v>
      </c>
      <c r="H368" t="s">
        <v>73</v>
      </c>
      <c r="I368">
        <v>4</v>
      </c>
      <c r="J368">
        <v>249</v>
      </c>
      <c r="K368">
        <v>996</v>
      </c>
      <c r="L368">
        <v>5</v>
      </c>
      <c r="M368" t="s">
        <v>46</v>
      </c>
      <c r="N368" t="s">
        <v>61</v>
      </c>
      <c r="O368" t="s">
        <v>39</v>
      </c>
      <c r="P368" t="s">
        <v>78</v>
      </c>
    </row>
    <row r="369" spans="1:16" x14ac:dyDescent="0.25">
      <c r="A369" t="s">
        <v>557</v>
      </c>
      <c r="B369" s="2">
        <v>45805</v>
      </c>
      <c r="C369" t="s">
        <v>313</v>
      </c>
      <c r="D369" t="s">
        <v>35</v>
      </c>
      <c r="E369">
        <v>39</v>
      </c>
      <c r="F369" t="s">
        <v>19</v>
      </c>
      <c r="G369" t="s">
        <v>68</v>
      </c>
      <c r="H369" t="s">
        <v>73</v>
      </c>
      <c r="I369">
        <v>3</v>
      </c>
      <c r="J369">
        <v>399</v>
      </c>
      <c r="K369">
        <v>1197</v>
      </c>
      <c r="L369">
        <v>20</v>
      </c>
      <c r="M369" t="s">
        <v>53</v>
      </c>
      <c r="N369" t="s">
        <v>61</v>
      </c>
      <c r="O369" t="s">
        <v>39</v>
      </c>
      <c r="P369" t="s">
        <v>125</v>
      </c>
    </row>
    <row r="370" spans="1:16" x14ac:dyDescent="0.25">
      <c r="A370" t="s">
        <v>558</v>
      </c>
      <c r="B370" s="2">
        <v>46007</v>
      </c>
      <c r="C370" t="s">
        <v>266</v>
      </c>
      <c r="D370" t="s">
        <v>35</v>
      </c>
      <c r="E370">
        <v>30</v>
      </c>
      <c r="F370" t="s">
        <v>76</v>
      </c>
      <c r="G370" t="s">
        <v>29</v>
      </c>
      <c r="H370" t="s">
        <v>200</v>
      </c>
      <c r="I370">
        <v>3</v>
      </c>
      <c r="J370">
        <v>299</v>
      </c>
      <c r="K370">
        <v>897</v>
      </c>
      <c r="L370">
        <v>5</v>
      </c>
      <c r="M370" t="s">
        <v>46</v>
      </c>
      <c r="N370" t="s">
        <v>47</v>
      </c>
      <c r="O370" t="s">
        <v>24</v>
      </c>
      <c r="P370" t="s">
        <v>54</v>
      </c>
    </row>
    <row r="371" spans="1:16" x14ac:dyDescent="0.25">
      <c r="A371" t="s">
        <v>559</v>
      </c>
      <c r="B371" s="2">
        <v>45712</v>
      </c>
      <c r="C371" t="s">
        <v>88</v>
      </c>
      <c r="D371" t="s">
        <v>18</v>
      </c>
      <c r="E371">
        <v>60</v>
      </c>
      <c r="F371" t="s">
        <v>51</v>
      </c>
      <c r="G371" t="s">
        <v>29</v>
      </c>
      <c r="H371" t="s">
        <v>200</v>
      </c>
      <c r="I371">
        <v>3</v>
      </c>
      <c r="J371">
        <v>299</v>
      </c>
      <c r="K371">
        <v>897</v>
      </c>
      <c r="L371">
        <v>20</v>
      </c>
      <c r="M371" t="s">
        <v>38</v>
      </c>
      <c r="N371" t="s">
        <v>23</v>
      </c>
      <c r="O371" t="s">
        <v>39</v>
      </c>
      <c r="P371" t="s">
        <v>125</v>
      </c>
    </row>
    <row r="372" spans="1:16" x14ac:dyDescent="0.25">
      <c r="A372" t="s">
        <v>560</v>
      </c>
      <c r="B372" s="2">
        <v>45798</v>
      </c>
      <c r="C372" t="s">
        <v>159</v>
      </c>
      <c r="D372" t="s">
        <v>18</v>
      </c>
      <c r="E372">
        <v>50</v>
      </c>
      <c r="F372" t="s">
        <v>43</v>
      </c>
      <c r="G372" t="s">
        <v>68</v>
      </c>
      <c r="H372" t="s">
        <v>171</v>
      </c>
      <c r="I372">
        <v>4</v>
      </c>
      <c r="J372">
        <v>1499</v>
      </c>
      <c r="K372">
        <v>5996</v>
      </c>
      <c r="L372">
        <v>15</v>
      </c>
      <c r="M372" t="s">
        <v>53</v>
      </c>
      <c r="N372" t="s">
        <v>47</v>
      </c>
      <c r="O372" t="s">
        <v>24</v>
      </c>
      <c r="P372" t="s">
        <v>78</v>
      </c>
    </row>
    <row r="373" spans="1:16" x14ac:dyDescent="0.25">
      <c r="A373" t="s">
        <v>561</v>
      </c>
      <c r="B373" s="2">
        <v>45915</v>
      </c>
      <c r="C373" t="s">
        <v>350</v>
      </c>
      <c r="D373" t="s">
        <v>35</v>
      </c>
      <c r="E373">
        <v>29</v>
      </c>
      <c r="F373" t="s">
        <v>51</v>
      </c>
      <c r="G373" t="s">
        <v>36</v>
      </c>
      <c r="H373" t="s">
        <v>355</v>
      </c>
      <c r="I373">
        <v>5</v>
      </c>
      <c r="J373">
        <v>199</v>
      </c>
      <c r="K373">
        <v>995</v>
      </c>
      <c r="L373">
        <v>0</v>
      </c>
      <c r="M373" t="s">
        <v>85</v>
      </c>
      <c r="N373" t="s">
        <v>61</v>
      </c>
      <c r="O373" t="s">
        <v>39</v>
      </c>
      <c r="P373" t="s">
        <v>121</v>
      </c>
    </row>
    <row r="374" spans="1:16" x14ac:dyDescent="0.25">
      <c r="A374" t="s">
        <v>562</v>
      </c>
      <c r="B374" s="2">
        <v>45709</v>
      </c>
      <c r="C374" t="s">
        <v>139</v>
      </c>
      <c r="D374" t="s">
        <v>35</v>
      </c>
      <c r="E374">
        <v>57</v>
      </c>
      <c r="F374" t="s">
        <v>43</v>
      </c>
      <c r="G374" t="s">
        <v>20</v>
      </c>
      <c r="H374" t="s">
        <v>52</v>
      </c>
      <c r="I374">
        <v>4</v>
      </c>
      <c r="J374">
        <v>1499</v>
      </c>
      <c r="K374">
        <v>5996</v>
      </c>
      <c r="L374">
        <v>5</v>
      </c>
      <c r="M374" t="s">
        <v>85</v>
      </c>
      <c r="N374" t="s">
        <v>31</v>
      </c>
      <c r="O374" t="s">
        <v>24</v>
      </c>
      <c r="P374" t="s">
        <v>70</v>
      </c>
    </row>
    <row r="375" spans="1:16" x14ac:dyDescent="0.25">
      <c r="A375" t="s">
        <v>563</v>
      </c>
      <c r="B375" s="2">
        <v>45752</v>
      </c>
      <c r="C375" t="s">
        <v>288</v>
      </c>
      <c r="D375" t="s">
        <v>35</v>
      </c>
      <c r="E375">
        <v>31</v>
      </c>
      <c r="F375" t="s">
        <v>28</v>
      </c>
      <c r="G375" t="s">
        <v>36</v>
      </c>
      <c r="H375" t="s">
        <v>133</v>
      </c>
      <c r="I375">
        <v>3</v>
      </c>
      <c r="J375">
        <v>599</v>
      </c>
      <c r="K375">
        <v>1797</v>
      </c>
      <c r="L375">
        <v>10</v>
      </c>
      <c r="M375" t="s">
        <v>46</v>
      </c>
      <c r="N375" t="s">
        <v>61</v>
      </c>
      <c r="O375" t="s">
        <v>39</v>
      </c>
      <c r="P375" t="s">
        <v>62</v>
      </c>
    </row>
    <row r="376" spans="1:16" x14ac:dyDescent="0.25">
      <c r="A376" t="s">
        <v>564</v>
      </c>
      <c r="B376" s="2">
        <v>46009</v>
      </c>
      <c r="C376" t="s">
        <v>255</v>
      </c>
      <c r="D376" t="s">
        <v>18</v>
      </c>
      <c r="E376">
        <v>35</v>
      </c>
      <c r="F376" t="s">
        <v>76</v>
      </c>
      <c r="G376" t="s">
        <v>29</v>
      </c>
      <c r="H376" t="s">
        <v>200</v>
      </c>
      <c r="I376">
        <v>2</v>
      </c>
      <c r="J376">
        <v>1499</v>
      </c>
      <c r="K376">
        <v>2998</v>
      </c>
      <c r="L376">
        <v>20</v>
      </c>
      <c r="M376" t="s">
        <v>22</v>
      </c>
      <c r="N376" t="s">
        <v>61</v>
      </c>
      <c r="O376" t="s">
        <v>24</v>
      </c>
      <c r="P376" t="s">
        <v>65</v>
      </c>
    </row>
    <row r="377" spans="1:16" x14ac:dyDescent="0.25">
      <c r="A377" t="s">
        <v>565</v>
      </c>
      <c r="B377" s="2">
        <v>45873</v>
      </c>
      <c r="C377" t="s">
        <v>288</v>
      </c>
      <c r="D377" t="s">
        <v>18</v>
      </c>
      <c r="E377">
        <v>58</v>
      </c>
      <c r="F377" t="s">
        <v>60</v>
      </c>
      <c r="G377" t="s">
        <v>29</v>
      </c>
      <c r="H377" t="s">
        <v>140</v>
      </c>
      <c r="I377">
        <v>1</v>
      </c>
      <c r="J377">
        <v>299</v>
      </c>
      <c r="K377">
        <v>299</v>
      </c>
      <c r="L377">
        <v>15</v>
      </c>
      <c r="M377" t="s">
        <v>46</v>
      </c>
      <c r="N377" t="s">
        <v>31</v>
      </c>
      <c r="O377" t="s">
        <v>48</v>
      </c>
      <c r="P377" t="s">
        <v>193</v>
      </c>
    </row>
    <row r="378" spans="1:16" x14ac:dyDescent="0.25">
      <c r="A378" t="s">
        <v>566</v>
      </c>
      <c r="B378" s="2">
        <v>45741</v>
      </c>
      <c r="C378" t="s">
        <v>105</v>
      </c>
      <c r="D378" t="s">
        <v>18</v>
      </c>
      <c r="E378">
        <v>34</v>
      </c>
      <c r="F378" t="s">
        <v>51</v>
      </c>
      <c r="G378" t="s">
        <v>20</v>
      </c>
      <c r="H378" t="s">
        <v>120</v>
      </c>
      <c r="I378">
        <v>1</v>
      </c>
      <c r="J378">
        <v>2499</v>
      </c>
      <c r="K378">
        <v>2499</v>
      </c>
      <c r="L378">
        <v>0</v>
      </c>
      <c r="M378" t="s">
        <v>22</v>
      </c>
      <c r="N378" t="s">
        <v>31</v>
      </c>
      <c r="O378" t="s">
        <v>39</v>
      </c>
      <c r="P378" t="s">
        <v>125</v>
      </c>
    </row>
    <row r="379" spans="1:16" x14ac:dyDescent="0.25">
      <c r="A379" t="s">
        <v>567</v>
      </c>
      <c r="B379" s="2">
        <v>45834</v>
      </c>
      <c r="C379" t="s">
        <v>366</v>
      </c>
      <c r="D379" t="s">
        <v>35</v>
      </c>
      <c r="E379">
        <v>25</v>
      </c>
      <c r="F379" t="s">
        <v>60</v>
      </c>
      <c r="G379" t="s">
        <v>44</v>
      </c>
      <c r="H379" t="s">
        <v>151</v>
      </c>
      <c r="I379">
        <v>5</v>
      </c>
      <c r="J379">
        <v>499</v>
      </c>
      <c r="K379">
        <v>2495</v>
      </c>
      <c r="L379">
        <v>20</v>
      </c>
      <c r="M379" t="s">
        <v>53</v>
      </c>
      <c r="N379" t="s">
        <v>47</v>
      </c>
      <c r="O379" t="s">
        <v>39</v>
      </c>
      <c r="P379" t="s">
        <v>125</v>
      </c>
    </row>
    <row r="380" spans="1:16" x14ac:dyDescent="0.25">
      <c r="A380" t="s">
        <v>568</v>
      </c>
      <c r="B380" s="2">
        <v>45886</v>
      </c>
      <c r="C380" t="s">
        <v>272</v>
      </c>
      <c r="D380" t="s">
        <v>35</v>
      </c>
      <c r="E380">
        <v>57</v>
      </c>
      <c r="F380" t="s">
        <v>43</v>
      </c>
      <c r="G380" t="s">
        <v>44</v>
      </c>
      <c r="H380" t="s">
        <v>151</v>
      </c>
      <c r="I380">
        <v>4</v>
      </c>
      <c r="J380">
        <v>2499</v>
      </c>
      <c r="K380">
        <v>9996</v>
      </c>
      <c r="L380">
        <v>15</v>
      </c>
      <c r="M380" t="s">
        <v>53</v>
      </c>
      <c r="N380" t="s">
        <v>47</v>
      </c>
      <c r="O380" t="s">
        <v>48</v>
      </c>
      <c r="P380" t="s">
        <v>57</v>
      </c>
    </row>
    <row r="381" spans="1:16" x14ac:dyDescent="0.25">
      <c r="A381" t="s">
        <v>569</v>
      </c>
      <c r="B381" s="2">
        <v>45694</v>
      </c>
      <c r="C381" t="s">
        <v>272</v>
      </c>
      <c r="D381" t="s">
        <v>18</v>
      </c>
      <c r="E381">
        <v>39</v>
      </c>
      <c r="F381" t="s">
        <v>76</v>
      </c>
      <c r="G381" t="s">
        <v>36</v>
      </c>
      <c r="H381" t="s">
        <v>133</v>
      </c>
      <c r="I381">
        <v>5</v>
      </c>
      <c r="J381">
        <v>799</v>
      </c>
      <c r="K381">
        <v>3995</v>
      </c>
      <c r="L381">
        <v>10</v>
      </c>
      <c r="M381" t="s">
        <v>46</v>
      </c>
      <c r="N381" t="s">
        <v>31</v>
      </c>
      <c r="O381" t="s">
        <v>48</v>
      </c>
      <c r="P381" t="s">
        <v>70</v>
      </c>
    </row>
    <row r="382" spans="1:16" x14ac:dyDescent="0.25">
      <c r="A382" t="s">
        <v>570</v>
      </c>
      <c r="B382" s="2">
        <v>45843</v>
      </c>
      <c r="C382" t="s">
        <v>190</v>
      </c>
      <c r="D382" t="s">
        <v>35</v>
      </c>
      <c r="E382">
        <v>44</v>
      </c>
      <c r="F382" t="s">
        <v>124</v>
      </c>
      <c r="G382" t="s">
        <v>68</v>
      </c>
      <c r="H382" t="s">
        <v>69</v>
      </c>
      <c r="I382">
        <v>3</v>
      </c>
      <c r="J382">
        <v>999</v>
      </c>
      <c r="K382">
        <v>2997</v>
      </c>
      <c r="L382">
        <v>5</v>
      </c>
      <c r="M382" t="s">
        <v>38</v>
      </c>
      <c r="N382" t="s">
        <v>47</v>
      </c>
      <c r="O382" t="s">
        <v>48</v>
      </c>
      <c r="P382" t="s">
        <v>89</v>
      </c>
    </row>
    <row r="383" spans="1:16" x14ac:dyDescent="0.25">
      <c r="A383" t="s">
        <v>571</v>
      </c>
      <c r="B383" s="2">
        <v>45861</v>
      </c>
      <c r="C383" t="s">
        <v>75</v>
      </c>
      <c r="D383" t="s">
        <v>18</v>
      </c>
      <c r="E383">
        <v>22</v>
      </c>
      <c r="F383" t="s">
        <v>51</v>
      </c>
      <c r="G383" t="s">
        <v>44</v>
      </c>
      <c r="H383" t="s">
        <v>45</v>
      </c>
      <c r="I383">
        <v>2</v>
      </c>
      <c r="J383">
        <v>299</v>
      </c>
      <c r="K383">
        <v>598</v>
      </c>
      <c r="L383">
        <v>20</v>
      </c>
      <c r="M383" t="s">
        <v>38</v>
      </c>
      <c r="N383" t="s">
        <v>23</v>
      </c>
      <c r="O383" t="s">
        <v>39</v>
      </c>
      <c r="P383" t="s">
        <v>78</v>
      </c>
    </row>
    <row r="384" spans="1:16" x14ac:dyDescent="0.25">
      <c r="A384" t="s">
        <v>572</v>
      </c>
      <c r="B384" s="2">
        <v>45737</v>
      </c>
      <c r="C384" t="s">
        <v>272</v>
      </c>
      <c r="D384" t="s">
        <v>35</v>
      </c>
      <c r="E384">
        <v>37</v>
      </c>
      <c r="F384" t="s">
        <v>76</v>
      </c>
      <c r="G384" t="s">
        <v>20</v>
      </c>
      <c r="H384" t="s">
        <v>21</v>
      </c>
      <c r="I384">
        <v>3</v>
      </c>
      <c r="J384">
        <v>1499</v>
      </c>
      <c r="K384">
        <v>4497</v>
      </c>
      <c r="L384">
        <v>5</v>
      </c>
      <c r="M384" t="s">
        <v>46</v>
      </c>
      <c r="N384" t="s">
        <v>61</v>
      </c>
      <c r="O384" t="s">
        <v>48</v>
      </c>
      <c r="P384" t="s">
        <v>65</v>
      </c>
    </row>
    <row r="385" spans="1:16" x14ac:dyDescent="0.25">
      <c r="A385" t="s">
        <v>573</v>
      </c>
      <c r="B385" s="2">
        <v>45675</v>
      </c>
      <c r="C385" t="s">
        <v>188</v>
      </c>
      <c r="D385" t="s">
        <v>35</v>
      </c>
      <c r="E385">
        <v>38</v>
      </c>
      <c r="F385" t="s">
        <v>51</v>
      </c>
      <c r="G385" t="s">
        <v>29</v>
      </c>
      <c r="H385" t="s">
        <v>200</v>
      </c>
      <c r="I385">
        <v>2</v>
      </c>
      <c r="J385">
        <v>199</v>
      </c>
      <c r="K385">
        <v>398</v>
      </c>
      <c r="L385">
        <v>15</v>
      </c>
      <c r="M385" t="s">
        <v>85</v>
      </c>
      <c r="N385" t="s">
        <v>31</v>
      </c>
      <c r="O385" t="s">
        <v>48</v>
      </c>
      <c r="P385" t="s">
        <v>62</v>
      </c>
    </row>
    <row r="386" spans="1:16" x14ac:dyDescent="0.25">
      <c r="A386" t="s">
        <v>574</v>
      </c>
      <c r="B386" s="2">
        <v>45963</v>
      </c>
      <c r="C386" t="s">
        <v>112</v>
      </c>
      <c r="D386" t="s">
        <v>35</v>
      </c>
      <c r="E386">
        <v>51</v>
      </c>
      <c r="F386" t="s">
        <v>43</v>
      </c>
      <c r="G386" t="s">
        <v>29</v>
      </c>
      <c r="H386" t="s">
        <v>200</v>
      </c>
      <c r="I386">
        <v>2</v>
      </c>
      <c r="J386">
        <v>1499</v>
      </c>
      <c r="K386">
        <v>2998</v>
      </c>
      <c r="L386">
        <v>10</v>
      </c>
      <c r="M386" t="s">
        <v>22</v>
      </c>
      <c r="N386" t="s">
        <v>47</v>
      </c>
      <c r="O386" t="s">
        <v>24</v>
      </c>
      <c r="P386" t="s">
        <v>62</v>
      </c>
    </row>
    <row r="387" spans="1:16" x14ac:dyDescent="0.25">
      <c r="A387" t="s">
        <v>575</v>
      </c>
      <c r="B387" s="2">
        <v>45737</v>
      </c>
      <c r="C387" t="s">
        <v>360</v>
      </c>
      <c r="D387" t="s">
        <v>18</v>
      </c>
      <c r="E387">
        <v>18</v>
      </c>
      <c r="F387" t="s">
        <v>124</v>
      </c>
      <c r="G387" t="s">
        <v>44</v>
      </c>
      <c r="H387" t="s">
        <v>177</v>
      </c>
      <c r="I387">
        <v>4</v>
      </c>
      <c r="J387">
        <v>499</v>
      </c>
      <c r="K387">
        <v>1996</v>
      </c>
      <c r="L387">
        <v>10</v>
      </c>
      <c r="M387" t="s">
        <v>46</v>
      </c>
      <c r="N387" t="s">
        <v>61</v>
      </c>
      <c r="O387" t="s">
        <v>48</v>
      </c>
      <c r="P387" t="s">
        <v>121</v>
      </c>
    </row>
    <row r="388" spans="1:16" x14ac:dyDescent="0.25">
      <c r="A388" t="s">
        <v>576</v>
      </c>
      <c r="B388" s="2">
        <v>45878</v>
      </c>
      <c r="C388" t="s">
        <v>180</v>
      </c>
      <c r="D388" t="s">
        <v>18</v>
      </c>
      <c r="E388">
        <v>18</v>
      </c>
      <c r="F388" t="s">
        <v>60</v>
      </c>
      <c r="G388" t="s">
        <v>36</v>
      </c>
      <c r="H388" t="s">
        <v>355</v>
      </c>
      <c r="I388">
        <v>3</v>
      </c>
      <c r="J388">
        <v>199</v>
      </c>
      <c r="K388">
        <v>597</v>
      </c>
      <c r="L388">
        <v>5</v>
      </c>
      <c r="M388" t="s">
        <v>22</v>
      </c>
      <c r="N388" t="s">
        <v>61</v>
      </c>
      <c r="O388" t="s">
        <v>39</v>
      </c>
      <c r="P388" t="s">
        <v>89</v>
      </c>
    </row>
    <row r="389" spans="1:16" x14ac:dyDescent="0.25">
      <c r="A389" t="s">
        <v>577</v>
      </c>
      <c r="B389" s="2">
        <v>45792</v>
      </c>
      <c r="C389" t="s">
        <v>272</v>
      </c>
      <c r="D389" t="s">
        <v>35</v>
      </c>
      <c r="E389">
        <v>58</v>
      </c>
      <c r="F389" t="s">
        <v>76</v>
      </c>
      <c r="G389" t="s">
        <v>29</v>
      </c>
      <c r="H389" t="s">
        <v>140</v>
      </c>
      <c r="I389">
        <v>4</v>
      </c>
      <c r="J389">
        <v>399</v>
      </c>
      <c r="K389">
        <v>1596</v>
      </c>
      <c r="L389">
        <v>20</v>
      </c>
      <c r="M389" t="s">
        <v>85</v>
      </c>
      <c r="N389" t="s">
        <v>31</v>
      </c>
      <c r="O389" t="s">
        <v>39</v>
      </c>
      <c r="P389" t="s">
        <v>103</v>
      </c>
    </row>
    <row r="390" spans="1:16" x14ac:dyDescent="0.25">
      <c r="A390" t="s">
        <v>578</v>
      </c>
      <c r="B390" s="2">
        <v>45751</v>
      </c>
      <c r="C390" t="s">
        <v>17</v>
      </c>
      <c r="D390" t="s">
        <v>35</v>
      </c>
      <c r="E390">
        <v>25</v>
      </c>
      <c r="F390" t="s">
        <v>51</v>
      </c>
      <c r="G390" t="s">
        <v>44</v>
      </c>
      <c r="H390" t="s">
        <v>99</v>
      </c>
      <c r="I390">
        <v>2</v>
      </c>
      <c r="J390">
        <v>249</v>
      </c>
      <c r="K390">
        <v>498</v>
      </c>
      <c r="L390">
        <v>20</v>
      </c>
      <c r="M390" t="s">
        <v>22</v>
      </c>
      <c r="N390" t="s">
        <v>31</v>
      </c>
      <c r="O390" t="s">
        <v>48</v>
      </c>
      <c r="P390" t="s">
        <v>40</v>
      </c>
    </row>
    <row r="391" spans="1:16" x14ac:dyDescent="0.25">
      <c r="A391" t="s">
        <v>579</v>
      </c>
      <c r="B391" s="2">
        <v>45735</v>
      </c>
      <c r="C391" t="s">
        <v>250</v>
      </c>
      <c r="D391" t="s">
        <v>18</v>
      </c>
      <c r="E391">
        <v>29</v>
      </c>
      <c r="F391" t="s">
        <v>19</v>
      </c>
      <c r="G391" t="s">
        <v>36</v>
      </c>
      <c r="H391" t="s">
        <v>102</v>
      </c>
      <c r="I391">
        <v>3</v>
      </c>
      <c r="J391">
        <v>199</v>
      </c>
      <c r="K391">
        <v>597</v>
      </c>
      <c r="L391">
        <v>10</v>
      </c>
      <c r="M391" t="s">
        <v>46</v>
      </c>
      <c r="N391" t="s">
        <v>47</v>
      </c>
      <c r="O391" t="s">
        <v>48</v>
      </c>
      <c r="P391" t="s">
        <v>62</v>
      </c>
    </row>
    <row r="392" spans="1:16" x14ac:dyDescent="0.25">
      <c r="A392" t="s">
        <v>580</v>
      </c>
      <c r="B392" s="2">
        <v>45665</v>
      </c>
      <c r="C392" t="s">
        <v>288</v>
      </c>
      <c r="D392" t="s">
        <v>18</v>
      </c>
      <c r="E392">
        <v>39</v>
      </c>
      <c r="F392" t="s">
        <v>28</v>
      </c>
      <c r="G392" t="s">
        <v>20</v>
      </c>
      <c r="H392" t="s">
        <v>52</v>
      </c>
      <c r="I392">
        <v>1</v>
      </c>
      <c r="J392">
        <v>299</v>
      </c>
      <c r="K392">
        <v>299</v>
      </c>
      <c r="L392">
        <v>10</v>
      </c>
      <c r="M392" t="s">
        <v>22</v>
      </c>
      <c r="N392" t="s">
        <v>31</v>
      </c>
      <c r="O392" t="s">
        <v>39</v>
      </c>
      <c r="P392" t="s">
        <v>117</v>
      </c>
    </row>
    <row r="393" spans="1:16" x14ac:dyDescent="0.25">
      <c r="A393" t="s">
        <v>581</v>
      </c>
      <c r="B393" s="2">
        <v>45794</v>
      </c>
      <c r="C393" t="s">
        <v>209</v>
      </c>
      <c r="D393" t="s">
        <v>35</v>
      </c>
      <c r="E393">
        <v>22</v>
      </c>
      <c r="F393" t="s">
        <v>51</v>
      </c>
      <c r="G393" t="s">
        <v>44</v>
      </c>
      <c r="H393" t="s">
        <v>45</v>
      </c>
      <c r="I393">
        <v>2</v>
      </c>
      <c r="J393">
        <v>199</v>
      </c>
      <c r="K393">
        <v>398</v>
      </c>
      <c r="L393">
        <v>5</v>
      </c>
      <c r="M393" t="s">
        <v>53</v>
      </c>
      <c r="N393" t="s">
        <v>31</v>
      </c>
      <c r="O393" t="s">
        <v>39</v>
      </c>
      <c r="P393" t="s">
        <v>121</v>
      </c>
    </row>
    <row r="394" spans="1:16" x14ac:dyDescent="0.25">
      <c r="A394" t="s">
        <v>582</v>
      </c>
      <c r="B394" s="2">
        <v>45784</v>
      </c>
      <c r="C394" t="s">
        <v>274</v>
      </c>
      <c r="D394" t="s">
        <v>18</v>
      </c>
      <c r="E394">
        <v>30</v>
      </c>
      <c r="F394" t="s">
        <v>51</v>
      </c>
      <c r="G394" t="s">
        <v>20</v>
      </c>
      <c r="H394" t="s">
        <v>52</v>
      </c>
      <c r="I394">
        <v>4</v>
      </c>
      <c r="J394">
        <v>999</v>
      </c>
      <c r="K394">
        <v>3996</v>
      </c>
      <c r="L394">
        <v>0</v>
      </c>
      <c r="M394" t="s">
        <v>85</v>
      </c>
      <c r="N394" t="s">
        <v>47</v>
      </c>
      <c r="O394" t="s">
        <v>39</v>
      </c>
      <c r="P394" t="s">
        <v>157</v>
      </c>
    </row>
    <row r="395" spans="1:16" x14ac:dyDescent="0.25">
      <c r="A395" t="s">
        <v>583</v>
      </c>
      <c r="B395" s="2">
        <v>45679</v>
      </c>
      <c r="C395" t="s">
        <v>190</v>
      </c>
      <c r="D395" t="s">
        <v>18</v>
      </c>
      <c r="E395">
        <v>34</v>
      </c>
      <c r="F395" t="s">
        <v>51</v>
      </c>
      <c r="G395" t="s">
        <v>44</v>
      </c>
      <c r="H395" t="s">
        <v>177</v>
      </c>
      <c r="I395">
        <v>2</v>
      </c>
      <c r="J395">
        <v>1999</v>
      </c>
      <c r="K395">
        <v>3998</v>
      </c>
      <c r="L395">
        <v>10</v>
      </c>
      <c r="M395" t="s">
        <v>53</v>
      </c>
      <c r="N395" t="s">
        <v>31</v>
      </c>
      <c r="O395" t="s">
        <v>24</v>
      </c>
      <c r="P395" t="s">
        <v>54</v>
      </c>
    </row>
    <row r="396" spans="1:16" x14ac:dyDescent="0.25">
      <c r="A396" t="s">
        <v>584</v>
      </c>
      <c r="B396" s="2">
        <v>45665</v>
      </c>
      <c r="C396" t="s">
        <v>414</v>
      </c>
      <c r="D396" t="s">
        <v>35</v>
      </c>
      <c r="E396">
        <v>55</v>
      </c>
      <c r="F396" t="s">
        <v>19</v>
      </c>
      <c r="G396" t="s">
        <v>20</v>
      </c>
      <c r="H396" t="s">
        <v>52</v>
      </c>
      <c r="I396">
        <v>4</v>
      </c>
      <c r="J396">
        <v>599</v>
      </c>
      <c r="K396">
        <v>2396</v>
      </c>
      <c r="L396">
        <v>15</v>
      </c>
      <c r="M396" t="s">
        <v>53</v>
      </c>
      <c r="N396" t="s">
        <v>23</v>
      </c>
      <c r="O396" t="s">
        <v>24</v>
      </c>
      <c r="P396" t="s">
        <v>193</v>
      </c>
    </row>
    <row r="397" spans="1:16" x14ac:dyDescent="0.25">
      <c r="A397" t="s">
        <v>585</v>
      </c>
      <c r="B397" s="2">
        <v>45703</v>
      </c>
      <c r="C397" t="s">
        <v>259</v>
      </c>
      <c r="D397" t="s">
        <v>18</v>
      </c>
      <c r="E397">
        <v>49</v>
      </c>
      <c r="F397" t="s">
        <v>19</v>
      </c>
      <c r="G397" t="s">
        <v>36</v>
      </c>
      <c r="H397" t="s">
        <v>133</v>
      </c>
      <c r="I397">
        <v>2</v>
      </c>
      <c r="J397">
        <v>599</v>
      </c>
      <c r="K397">
        <v>1198</v>
      </c>
      <c r="L397">
        <v>20</v>
      </c>
      <c r="M397" t="s">
        <v>46</v>
      </c>
      <c r="N397" t="s">
        <v>23</v>
      </c>
      <c r="O397" t="s">
        <v>24</v>
      </c>
      <c r="P397" t="s">
        <v>125</v>
      </c>
    </row>
    <row r="398" spans="1:16" x14ac:dyDescent="0.25">
      <c r="A398" t="s">
        <v>586</v>
      </c>
      <c r="B398" s="2">
        <v>45907</v>
      </c>
      <c r="C398" t="s">
        <v>255</v>
      </c>
      <c r="D398" t="s">
        <v>35</v>
      </c>
      <c r="E398">
        <v>53</v>
      </c>
      <c r="F398" t="s">
        <v>60</v>
      </c>
      <c r="G398" t="s">
        <v>29</v>
      </c>
      <c r="H398" t="s">
        <v>200</v>
      </c>
      <c r="I398">
        <v>1</v>
      </c>
      <c r="J398">
        <v>299</v>
      </c>
      <c r="K398">
        <v>299</v>
      </c>
      <c r="L398">
        <v>15</v>
      </c>
      <c r="M398" t="s">
        <v>53</v>
      </c>
      <c r="N398" t="s">
        <v>23</v>
      </c>
      <c r="O398" t="s">
        <v>48</v>
      </c>
      <c r="P398" t="s">
        <v>157</v>
      </c>
    </row>
    <row r="399" spans="1:16" x14ac:dyDescent="0.25">
      <c r="A399" t="s">
        <v>587</v>
      </c>
      <c r="B399" s="2">
        <v>45906</v>
      </c>
      <c r="C399" t="s">
        <v>257</v>
      </c>
      <c r="D399" t="s">
        <v>35</v>
      </c>
      <c r="E399">
        <v>53</v>
      </c>
      <c r="F399" t="s">
        <v>43</v>
      </c>
      <c r="G399" t="s">
        <v>44</v>
      </c>
      <c r="H399" t="s">
        <v>235</v>
      </c>
      <c r="I399">
        <v>3</v>
      </c>
      <c r="J399">
        <v>199</v>
      </c>
      <c r="K399">
        <v>597</v>
      </c>
      <c r="L399">
        <v>20</v>
      </c>
      <c r="M399" t="s">
        <v>22</v>
      </c>
      <c r="N399" t="s">
        <v>47</v>
      </c>
      <c r="O399" t="s">
        <v>48</v>
      </c>
      <c r="P399" t="s">
        <v>32</v>
      </c>
    </row>
    <row r="400" spans="1:16" x14ac:dyDescent="0.25">
      <c r="A400" t="s">
        <v>588</v>
      </c>
      <c r="B400" s="2">
        <v>45897</v>
      </c>
      <c r="C400" t="s">
        <v>150</v>
      </c>
      <c r="D400" t="s">
        <v>18</v>
      </c>
      <c r="E400">
        <v>22</v>
      </c>
      <c r="F400" t="s">
        <v>124</v>
      </c>
      <c r="G400" t="s">
        <v>68</v>
      </c>
      <c r="H400" t="s">
        <v>171</v>
      </c>
      <c r="I400">
        <v>3</v>
      </c>
      <c r="J400">
        <v>2499</v>
      </c>
      <c r="K400">
        <v>7497</v>
      </c>
      <c r="L400">
        <v>15</v>
      </c>
      <c r="M400" t="s">
        <v>46</v>
      </c>
      <c r="N400" t="s">
        <v>31</v>
      </c>
      <c r="O400" t="s">
        <v>48</v>
      </c>
      <c r="P400" t="s">
        <v>125</v>
      </c>
    </row>
    <row r="401" spans="1:16" x14ac:dyDescent="0.25">
      <c r="A401" t="s">
        <v>589</v>
      </c>
      <c r="B401" s="2">
        <v>45752</v>
      </c>
      <c r="C401" t="s">
        <v>366</v>
      </c>
      <c r="D401" t="s">
        <v>35</v>
      </c>
      <c r="E401">
        <v>57</v>
      </c>
      <c r="F401" t="s">
        <v>76</v>
      </c>
      <c r="G401" t="s">
        <v>36</v>
      </c>
      <c r="H401" t="s">
        <v>156</v>
      </c>
      <c r="I401">
        <v>5</v>
      </c>
      <c r="J401">
        <v>799</v>
      </c>
      <c r="K401">
        <v>3995</v>
      </c>
      <c r="L401">
        <v>10</v>
      </c>
      <c r="M401" t="s">
        <v>38</v>
      </c>
      <c r="N401" t="s">
        <v>61</v>
      </c>
      <c r="O401" t="s">
        <v>24</v>
      </c>
      <c r="P401" t="s">
        <v>78</v>
      </c>
    </row>
    <row r="402" spans="1:16" x14ac:dyDescent="0.25">
      <c r="A402" t="s">
        <v>590</v>
      </c>
      <c r="B402" s="2">
        <v>45802</v>
      </c>
      <c r="C402" t="s">
        <v>139</v>
      </c>
      <c r="D402" t="s">
        <v>35</v>
      </c>
      <c r="E402">
        <v>59</v>
      </c>
      <c r="F402" t="s">
        <v>60</v>
      </c>
      <c r="G402" t="s">
        <v>36</v>
      </c>
      <c r="H402" t="s">
        <v>133</v>
      </c>
      <c r="I402">
        <v>2</v>
      </c>
      <c r="J402">
        <v>1499</v>
      </c>
      <c r="K402">
        <v>2998</v>
      </c>
      <c r="L402">
        <v>0</v>
      </c>
      <c r="M402" t="s">
        <v>38</v>
      </c>
      <c r="N402" t="s">
        <v>23</v>
      </c>
      <c r="O402" t="s">
        <v>24</v>
      </c>
      <c r="P402" t="s">
        <v>65</v>
      </c>
    </row>
    <row r="403" spans="1:16" x14ac:dyDescent="0.25">
      <c r="A403" t="s">
        <v>591</v>
      </c>
      <c r="B403" s="2">
        <v>45906</v>
      </c>
      <c r="C403" t="s">
        <v>266</v>
      </c>
      <c r="D403" t="s">
        <v>18</v>
      </c>
      <c r="E403">
        <v>20</v>
      </c>
      <c r="F403" t="s">
        <v>28</v>
      </c>
      <c r="G403" t="s">
        <v>29</v>
      </c>
      <c r="H403" t="s">
        <v>108</v>
      </c>
      <c r="I403">
        <v>2</v>
      </c>
      <c r="J403">
        <v>-499</v>
      </c>
      <c r="K403">
        <v>498</v>
      </c>
      <c r="L403">
        <v>15</v>
      </c>
      <c r="M403" t="s">
        <v>85</v>
      </c>
      <c r="N403" t="s">
        <v>31</v>
      </c>
      <c r="O403" t="s">
        <v>24</v>
      </c>
      <c r="P403" t="s">
        <v>125</v>
      </c>
    </row>
    <row r="404" spans="1:16" x14ac:dyDescent="0.25">
      <c r="A404" t="s">
        <v>592</v>
      </c>
      <c r="B404" s="2">
        <v>45764</v>
      </c>
      <c r="C404" t="s">
        <v>164</v>
      </c>
      <c r="D404" t="s">
        <v>35</v>
      </c>
      <c r="E404">
        <v>23</v>
      </c>
      <c r="F404" t="s">
        <v>51</v>
      </c>
      <c r="G404" t="s">
        <v>29</v>
      </c>
      <c r="H404" t="s">
        <v>200</v>
      </c>
      <c r="I404">
        <v>1</v>
      </c>
      <c r="J404">
        <v>199</v>
      </c>
      <c r="K404">
        <v>199</v>
      </c>
      <c r="L404">
        <v>0</v>
      </c>
      <c r="M404" t="s">
        <v>46</v>
      </c>
      <c r="N404" t="s">
        <v>61</v>
      </c>
      <c r="O404" t="s">
        <v>39</v>
      </c>
      <c r="P404" t="s">
        <v>117</v>
      </c>
    </row>
    <row r="405" spans="1:16" x14ac:dyDescent="0.25">
      <c r="A405" t="s">
        <v>593</v>
      </c>
      <c r="B405" s="2">
        <v>45694</v>
      </c>
      <c r="C405" t="s">
        <v>360</v>
      </c>
      <c r="D405" t="s">
        <v>18</v>
      </c>
      <c r="E405">
        <v>31</v>
      </c>
      <c r="F405" t="s">
        <v>19</v>
      </c>
      <c r="G405" t="s">
        <v>68</v>
      </c>
      <c r="H405" t="s">
        <v>171</v>
      </c>
      <c r="I405">
        <v>5</v>
      </c>
      <c r="J405">
        <v>199</v>
      </c>
      <c r="K405">
        <v>995</v>
      </c>
      <c r="L405">
        <v>0</v>
      </c>
      <c r="M405" t="s">
        <v>53</v>
      </c>
      <c r="N405" t="s">
        <v>61</v>
      </c>
      <c r="O405" t="s">
        <v>24</v>
      </c>
      <c r="P405" t="s">
        <v>54</v>
      </c>
    </row>
    <row r="406" spans="1:16" x14ac:dyDescent="0.25">
      <c r="A406" t="s">
        <v>594</v>
      </c>
      <c r="B406" s="2">
        <v>45749</v>
      </c>
      <c r="C406" t="s">
        <v>27</v>
      </c>
      <c r="D406" t="s">
        <v>35</v>
      </c>
      <c r="E406">
        <v>24</v>
      </c>
      <c r="F406" t="s">
        <v>60</v>
      </c>
      <c r="G406" t="s">
        <v>68</v>
      </c>
      <c r="H406" t="s">
        <v>137</v>
      </c>
      <c r="I406">
        <v>5</v>
      </c>
      <c r="J406">
        <v>1999</v>
      </c>
      <c r="K406">
        <v>9995</v>
      </c>
      <c r="L406">
        <v>15</v>
      </c>
      <c r="M406" t="s">
        <v>22</v>
      </c>
      <c r="N406" t="s">
        <v>23</v>
      </c>
      <c r="O406" t="s">
        <v>24</v>
      </c>
      <c r="P406" t="s">
        <v>32</v>
      </c>
    </row>
    <row r="407" spans="1:16" x14ac:dyDescent="0.25">
      <c r="A407" t="s">
        <v>595</v>
      </c>
      <c r="B407" s="2">
        <v>45994</v>
      </c>
      <c r="C407" t="s">
        <v>218</v>
      </c>
      <c r="D407" t="s">
        <v>35</v>
      </c>
      <c r="E407">
        <v>40</v>
      </c>
      <c r="F407" t="s">
        <v>60</v>
      </c>
      <c r="G407" t="s">
        <v>68</v>
      </c>
      <c r="H407" t="s">
        <v>69</v>
      </c>
      <c r="I407">
        <v>5</v>
      </c>
      <c r="J407">
        <v>599</v>
      </c>
      <c r="K407">
        <v>2995</v>
      </c>
      <c r="L407">
        <v>20</v>
      </c>
      <c r="M407" t="s">
        <v>46</v>
      </c>
      <c r="N407" t="s">
        <v>31</v>
      </c>
      <c r="O407" t="s">
        <v>39</v>
      </c>
      <c r="P407" t="s">
        <v>134</v>
      </c>
    </row>
    <row r="408" spans="1:16" x14ac:dyDescent="0.25">
      <c r="A408" t="s">
        <v>596</v>
      </c>
      <c r="B408" s="2">
        <v>45937</v>
      </c>
      <c r="C408" t="s">
        <v>253</v>
      </c>
      <c r="D408" t="s">
        <v>35</v>
      </c>
      <c r="E408">
        <v>53</v>
      </c>
      <c r="F408" t="s">
        <v>43</v>
      </c>
      <c r="G408" t="s">
        <v>44</v>
      </c>
      <c r="H408" t="s">
        <v>151</v>
      </c>
      <c r="I408">
        <v>2</v>
      </c>
      <c r="J408">
        <v>1499</v>
      </c>
      <c r="K408">
        <v>2998</v>
      </c>
      <c r="L408">
        <v>10</v>
      </c>
      <c r="M408" t="s">
        <v>22</v>
      </c>
      <c r="N408" t="s">
        <v>61</v>
      </c>
      <c r="O408" t="s">
        <v>39</v>
      </c>
      <c r="P408" t="s">
        <v>121</v>
      </c>
    </row>
    <row r="409" spans="1:16" x14ac:dyDescent="0.25">
      <c r="A409" t="s">
        <v>597</v>
      </c>
      <c r="B409" s="2">
        <v>45923</v>
      </c>
      <c r="C409" t="s">
        <v>17</v>
      </c>
      <c r="D409" t="s">
        <v>35</v>
      </c>
      <c r="E409">
        <v>18</v>
      </c>
      <c r="F409" t="s">
        <v>43</v>
      </c>
      <c r="G409" t="s">
        <v>20</v>
      </c>
      <c r="H409" t="s">
        <v>77</v>
      </c>
      <c r="I409">
        <v>5</v>
      </c>
      <c r="J409">
        <v>199</v>
      </c>
      <c r="K409">
        <v>995</v>
      </c>
      <c r="L409">
        <v>5</v>
      </c>
      <c r="M409" t="s">
        <v>53</v>
      </c>
      <c r="N409" t="s">
        <v>31</v>
      </c>
      <c r="O409" t="s">
        <v>24</v>
      </c>
      <c r="P409" t="s">
        <v>70</v>
      </c>
    </row>
    <row r="410" spans="1:16" x14ac:dyDescent="0.25">
      <c r="A410" t="s">
        <v>598</v>
      </c>
      <c r="B410" s="2">
        <v>45950</v>
      </c>
      <c r="C410" t="s">
        <v>67</v>
      </c>
      <c r="D410" t="s">
        <v>18</v>
      </c>
      <c r="E410">
        <v>20</v>
      </c>
      <c r="F410" t="s">
        <v>51</v>
      </c>
      <c r="G410" t="s">
        <v>68</v>
      </c>
      <c r="H410" t="s">
        <v>94</v>
      </c>
      <c r="I410">
        <v>5</v>
      </c>
      <c r="J410">
        <v>1499</v>
      </c>
      <c r="K410">
        <v>7495</v>
      </c>
      <c r="L410">
        <v>10</v>
      </c>
      <c r="M410" t="s">
        <v>53</v>
      </c>
      <c r="N410" t="s">
        <v>47</v>
      </c>
      <c r="O410" t="s">
        <v>39</v>
      </c>
      <c r="P410" t="s">
        <v>125</v>
      </c>
    </row>
    <row r="411" spans="1:16" x14ac:dyDescent="0.25">
      <c r="A411" t="s">
        <v>599</v>
      </c>
      <c r="B411" s="2">
        <v>45811</v>
      </c>
      <c r="C411" t="s">
        <v>313</v>
      </c>
      <c r="D411" t="s">
        <v>35</v>
      </c>
      <c r="E411">
        <v>54</v>
      </c>
      <c r="F411" t="s">
        <v>76</v>
      </c>
      <c r="G411" t="s">
        <v>68</v>
      </c>
      <c r="H411" t="s">
        <v>137</v>
      </c>
      <c r="I411">
        <v>2</v>
      </c>
      <c r="J411">
        <v>499</v>
      </c>
      <c r="K411">
        <v>998</v>
      </c>
      <c r="L411">
        <v>0</v>
      </c>
      <c r="M411" t="s">
        <v>46</v>
      </c>
      <c r="N411" t="s">
        <v>61</v>
      </c>
      <c r="O411" t="s">
        <v>24</v>
      </c>
      <c r="P411" t="s">
        <v>82</v>
      </c>
    </row>
    <row r="412" spans="1:16" x14ac:dyDescent="0.25">
      <c r="A412" t="s">
        <v>600</v>
      </c>
      <c r="B412" s="2">
        <v>45811</v>
      </c>
      <c r="C412" t="s">
        <v>91</v>
      </c>
      <c r="D412" t="s">
        <v>35</v>
      </c>
      <c r="E412">
        <v>23</v>
      </c>
      <c r="F412" t="s">
        <v>98</v>
      </c>
      <c r="G412" t="s">
        <v>68</v>
      </c>
      <c r="H412" t="s">
        <v>73</v>
      </c>
      <c r="I412">
        <v>5</v>
      </c>
      <c r="J412">
        <v>1999</v>
      </c>
      <c r="K412">
        <v>9995</v>
      </c>
      <c r="L412">
        <v>10</v>
      </c>
      <c r="M412" t="s">
        <v>46</v>
      </c>
      <c r="N412" t="s">
        <v>61</v>
      </c>
      <c r="O412" t="s">
        <v>39</v>
      </c>
      <c r="P412" t="s">
        <v>203</v>
      </c>
    </row>
    <row r="413" spans="1:16" x14ac:dyDescent="0.25">
      <c r="A413" t="s">
        <v>601</v>
      </c>
      <c r="B413" s="2">
        <v>45981</v>
      </c>
      <c r="C413" t="s">
        <v>42</v>
      </c>
      <c r="D413" t="s">
        <v>18</v>
      </c>
      <c r="E413">
        <v>37</v>
      </c>
      <c r="F413" t="s">
        <v>98</v>
      </c>
      <c r="G413" t="s">
        <v>29</v>
      </c>
      <c r="H413" t="s">
        <v>200</v>
      </c>
      <c r="I413">
        <v>1</v>
      </c>
      <c r="J413">
        <v>1999</v>
      </c>
      <c r="K413">
        <v>1999</v>
      </c>
      <c r="L413">
        <v>10</v>
      </c>
      <c r="M413" t="s">
        <v>85</v>
      </c>
      <c r="N413" t="s">
        <v>47</v>
      </c>
      <c r="O413" t="s">
        <v>39</v>
      </c>
      <c r="P413" t="s">
        <v>78</v>
      </c>
    </row>
    <row r="414" spans="1:16" x14ac:dyDescent="0.25">
      <c r="A414" t="s">
        <v>602</v>
      </c>
      <c r="B414" s="2">
        <v>45859</v>
      </c>
      <c r="C414" t="s">
        <v>186</v>
      </c>
      <c r="D414" t="s">
        <v>18</v>
      </c>
      <c r="E414">
        <v>32</v>
      </c>
      <c r="F414" t="s">
        <v>28</v>
      </c>
      <c r="G414" t="s">
        <v>29</v>
      </c>
      <c r="H414" t="s">
        <v>30</v>
      </c>
      <c r="I414">
        <v>1</v>
      </c>
      <c r="J414">
        <v>1999</v>
      </c>
      <c r="K414">
        <v>1999</v>
      </c>
      <c r="L414">
        <v>10</v>
      </c>
      <c r="M414" t="s">
        <v>22</v>
      </c>
      <c r="N414" t="s">
        <v>47</v>
      </c>
      <c r="O414" t="s">
        <v>24</v>
      </c>
      <c r="P414" t="s">
        <v>57</v>
      </c>
    </row>
    <row r="415" spans="1:16" x14ac:dyDescent="0.25">
      <c r="A415" t="s">
        <v>603</v>
      </c>
      <c r="B415" s="2">
        <v>45683</v>
      </c>
      <c r="C415" t="s">
        <v>97</v>
      </c>
      <c r="D415" t="s">
        <v>35</v>
      </c>
      <c r="E415">
        <v>34</v>
      </c>
      <c r="F415" t="s">
        <v>19</v>
      </c>
      <c r="G415" t="s">
        <v>20</v>
      </c>
      <c r="H415" t="s">
        <v>120</v>
      </c>
      <c r="I415">
        <v>5</v>
      </c>
      <c r="J415">
        <v>2499</v>
      </c>
      <c r="K415">
        <v>12495</v>
      </c>
      <c r="L415">
        <v>15</v>
      </c>
      <c r="M415" t="s">
        <v>85</v>
      </c>
      <c r="N415" t="s">
        <v>61</v>
      </c>
      <c r="O415" t="s">
        <v>48</v>
      </c>
      <c r="P415" t="s">
        <v>65</v>
      </c>
    </row>
    <row r="416" spans="1:16" x14ac:dyDescent="0.25">
      <c r="A416" t="s">
        <v>604</v>
      </c>
      <c r="B416" s="2">
        <v>45907</v>
      </c>
      <c r="C416" t="s">
        <v>388</v>
      </c>
      <c r="D416" t="s">
        <v>18</v>
      </c>
      <c r="E416">
        <v>53</v>
      </c>
      <c r="F416" t="s">
        <v>76</v>
      </c>
      <c r="G416" t="s">
        <v>29</v>
      </c>
      <c r="H416" t="s">
        <v>140</v>
      </c>
      <c r="I416">
        <v>5</v>
      </c>
      <c r="J416">
        <v>399</v>
      </c>
      <c r="K416">
        <v>1995</v>
      </c>
      <c r="L416">
        <v>5</v>
      </c>
      <c r="M416" t="s">
        <v>38</v>
      </c>
      <c r="N416" t="s">
        <v>31</v>
      </c>
      <c r="O416" t="s">
        <v>39</v>
      </c>
      <c r="P416" t="s">
        <v>57</v>
      </c>
    </row>
    <row r="417" spans="1:16" x14ac:dyDescent="0.25">
      <c r="A417" t="s">
        <v>605</v>
      </c>
      <c r="B417" s="2">
        <v>45869</v>
      </c>
      <c r="C417" t="s">
        <v>606</v>
      </c>
      <c r="D417" t="s">
        <v>35</v>
      </c>
      <c r="E417">
        <v>40</v>
      </c>
      <c r="F417" t="s">
        <v>76</v>
      </c>
      <c r="G417" t="s">
        <v>68</v>
      </c>
      <c r="H417" t="s">
        <v>73</v>
      </c>
      <c r="I417">
        <v>1</v>
      </c>
      <c r="J417">
        <v>1999</v>
      </c>
      <c r="K417">
        <v>1999</v>
      </c>
      <c r="L417">
        <v>10</v>
      </c>
      <c r="M417" t="s">
        <v>46</v>
      </c>
      <c r="N417" t="s">
        <v>23</v>
      </c>
      <c r="O417" t="s">
        <v>39</v>
      </c>
      <c r="P417" t="s">
        <v>32</v>
      </c>
    </row>
    <row r="418" spans="1:16" x14ac:dyDescent="0.25">
      <c r="A418" t="s">
        <v>607</v>
      </c>
      <c r="B418" s="2">
        <v>45732</v>
      </c>
      <c r="C418" t="s">
        <v>329</v>
      </c>
      <c r="D418" t="s">
        <v>18</v>
      </c>
      <c r="E418">
        <v>32</v>
      </c>
      <c r="F418" t="s">
        <v>76</v>
      </c>
      <c r="G418" t="s">
        <v>44</v>
      </c>
      <c r="H418" t="s">
        <v>151</v>
      </c>
      <c r="I418">
        <v>4</v>
      </c>
      <c r="J418">
        <v>1499</v>
      </c>
      <c r="K418">
        <v>5996</v>
      </c>
      <c r="L418">
        <v>10</v>
      </c>
      <c r="M418" t="s">
        <v>53</v>
      </c>
      <c r="N418" t="s">
        <v>23</v>
      </c>
      <c r="O418" t="s">
        <v>24</v>
      </c>
      <c r="P418" t="s">
        <v>117</v>
      </c>
    </row>
    <row r="419" spans="1:16" x14ac:dyDescent="0.25">
      <c r="A419" t="s">
        <v>608</v>
      </c>
      <c r="B419" s="2">
        <v>45665</v>
      </c>
      <c r="C419" t="s">
        <v>213</v>
      </c>
      <c r="D419" t="s">
        <v>18</v>
      </c>
      <c r="E419">
        <v>37</v>
      </c>
      <c r="F419" t="s">
        <v>51</v>
      </c>
      <c r="G419" t="s">
        <v>29</v>
      </c>
      <c r="H419" t="s">
        <v>200</v>
      </c>
      <c r="I419">
        <v>2</v>
      </c>
      <c r="J419">
        <v>499</v>
      </c>
      <c r="K419">
        <v>998</v>
      </c>
      <c r="L419">
        <v>15</v>
      </c>
      <c r="M419" t="s">
        <v>38</v>
      </c>
      <c r="N419" t="s">
        <v>31</v>
      </c>
      <c r="O419" t="s">
        <v>24</v>
      </c>
      <c r="P419" t="s">
        <v>103</v>
      </c>
    </row>
    <row r="420" spans="1:16" x14ac:dyDescent="0.25">
      <c r="A420" t="s">
        <v>609</v>
      </c>
      <c r="B420" s="2">
        <v>45790</v>
      </c>
      <c r="C420" t="s">
        <v>97</v>
      </c>
      <c r="D420" t="s">
        <v>35</v>
      </c>
      <c r="E420">
        <v>57</v>
      </c>
      <c r="F420" t="s">
        <v>124</v>
      </c>
      <c r="G420" t="s">
        <v>29</v>
      </c>
      <c r="H420" t="s">
        <v>30</v>
      </c>
      <c r="I420">
        <v>5</v>
      </c>
      <c r="J420">
        <v>1299</v>
      </c>
      <c r="K420">
        <v>6495</v>
      </c>
      <c r="L420">
        <v>0</v>
      </c>
      <c r="M420" t="s">
        <v>22</v>
      </c>
      <c r="N420" t="s">
        <v>23</v>
      </c>
      <c r="O420" t="s">
        <v>39</v>
      </c>
      <c r="P420" t="s">
        <v>32</v>
      </c>
    </row>
    <row r="421" spans="1:16" x14ac:dyDescent="0.25">
      <c r="A421" t="s">
        <v>610</v>
      </c>
      <c r="B421" s="2">
        <v>45974</v>
      </c>
      <c r="C421" t="s">
        <v>59</v>
      </c>
      <c r="D421" t="s">
        <v>18</v>
      </c>
      <c r="E421">
        <v>47</v>
      </c>
      <c r="F421" t="s">
        <v>98</v>
      </c>
      <c r="G421" t="s">
        <v>20</v>
      </c>
      <c r="H421" t="s">
        <v>77</v>
      </c>
      <c r="I421">
        <v>2</v>
      </c>
      <c r="J421">
        <v>2499</v>
      </c>
      <c r="K421">
        <v>4998</v>
      </c>
      <c r="L421">
        <v>0</v>
      </c>
      <c r="M421" t="s">
        <v>22</v>
      </c>
      <c r="N421" t="s">
        <v>31</v>
      </c>
      <c r="O421" t="s">
        <v>48</v>
      </c>
      <c r="P421" t="s">
        <v>125</v>
      </c>
    </row>
    <row r="422" spans="1:16" x14ac:dyDescent="0.25">
      <c r="A422" t="s">
        <v>611</v>
      </c>
      <c r="B422" s="2">
        <v>45855</v>
      </c>
      <c r="C422" t="s">
        <v>255</v>
      </c>
      <c r="D422" t="s">
        <v>35</v>
      </c>
      <c r="E422">
        <v>50</v>
      </c>
      <c r="F422" t="s">
        <v>19</v>
      </c>
      <c r="G422" t="s">
        <v>20</v>
      </c>
      <c r="H422" t="s">
        <v>21</v>
      </c>
      <c r="I422">
        <v>3</v>
      </c>
      <c r="J422">
        <v>1999</v>
      </c>
      <c r="K422">
        <v>5997</v>
      </c>
      <c r="L422">
        <v>10</v>
      </c>
      <c r="M422" t="s">
        <v>22</v>
      </c>
      <c r="N422" t="s">
        <v>23</v>
      </c>
      <c r="O422" t="s">
        <v>24</v>
      </c>
      <c r="P422" t="s">
        <v>54</v>
      </c>
    </row>
    <row r="423" spans="1:16" x14ac:dyDescent="0.25">
      <c r="A423" t="s">
        <v>612</v>
      </c>
      <c r="B423" s="2">
        <v>45669</v>
      </c>
      <c r="C423" t="s">
        <v>192</v>
      </c>
      <c r="D423" t="s">
        <v>18</v>
      </c>
      <c r="E423">
        <v>51</v>
      </c>
      <c r="F423" t="s">
        <v>43</v>
      </c>
      <c r="G423" t="s">
        <v>68</v>
      </c>
      <c r="H423" t="s">
        <v>69</v>
      </c>
      <c r="I423">
        <v>5</v>
      </c>
      <c r="J423">
        <v>2499</v>
      </c>
      <c r="K423">
        <v>12495</v>
      </c>
      <c r="L423">
        <v>10</v>
      </c>
      <c r="M423" t="s">
        <v>22</v>
      </c>
      <c r="N423" t="s">
        <v>61</v>
      </c>
      <c r="O423" t="s">
        <v>48</v>
      </c>
      <c r="P423" t="s">
        <v>32</v>
      </c>
    </row>
    <row r="424" spans="1:16" x14ac:dyDescent="0.25">
      <c r="A424" t="s">
        <v>613</v>
      </c>
      <c r="B424" s="2">
        <v>45978</v>
      </c>
      <c r="C424" t="s">
        <v>360</v>
      </c>
      <c r="D424" t="s">
        <v>18</v>
      </c>
      <c r="E424">
        <v>50</v>
      </c>
      <c r="F424" t="s">
        <v>43</v>
      </c>
      <c r="G424" t="s">
        <v>20</v>
      </c>
      <c r="H424" t="s">
        <v>77</v>
      </c>
      <c r="I424">
        <v>3</v>
      </c>
      <c r="J424">
        <v>599</v>
      </c>
      <c r="K424">
        <v>1797</v>
      </c>
      <c r="L424">
        <v>0</v>
      </c>
      <c r="M424" t="s">
        <v>46</v>
      </c>
      <c r="N424" t="s">
        <v>61</v>
      </c>
      <c r="O424" t="s">
        <v>24</v>
      </c>
      <c r="P424" t="s">
        <v>103</v>
      </c>
    </row>
    <row r="425" spans="1:16" x14ac:dyDescent="0.25">
      <c r="A425" t="s">
        <v>614</v>
      </c>
      <c r="B425" s="2">
        <v>45859</v>
      </c>
      <c r="C425" t="s">
        <v>188</v>
      </c>
      <c r="D425" t="s">
        <v>18</v>
      </c>
      <c r="E425">
        <v>23</v>
      </c>
      <c r="F425" t="s">
        <v>28</v>
      </c>
      <c r="G425" t="s">
        <v>44</v>
      </c>
      <c r="H425" t="s">
        <v>235</v>
      </c>
      <c r="I425">
        <v>2</v>
      </c>
      <c r="J425">
        <v>599</v>
      </c>
      <c r="K425">
        <v>1198</v>
      </c>
      <c r="L425">
        <v>20</v>
      </c>
      <c r="M425" t="s">
        <v>85</v>
      </c>
      <c r="N425" t="s">
        <v>47</v>
      </c>
      <c r="O425" t="s">
        <v>39</v>
      </c>
      <c r="P425" t="s">
        <v>89</v>
      </c>
    </row>
    <row r="426" spans="1:16" x14ac:dyDescent="0.25">
      <c r="A426" t="s">
        <v>615</v>
      </c>
      <c r="B426" s="2">
        <v>45967</v>
      </c>
      <c r="C426" t="s">
        <v>119</v>
      </c>
      <c r="D426" t="s">
        <v>35</v>
      </c>
      <c r="E426">
        <v>52</v>
      </c>
      <c r="F426" t="s">
        <v>124</v>
      </c>
      <c r="G426" t="s">
        <v>68</v>
      </c>
      <c r="H426" t="s">
        <v>137</v>
      </c>
      <c r="I426">
        <v>4</v>
      </c>
      <c r="J426">
        <v>499</v>
      </c>
      <c r="K426">
        <v>1996</v>
      </c>
      <c r="L426">
        <v>5</v>
      </c>
      <c r="M426" t="s">
        <v>53</v>
      </c>
      <c r="N426" t="s">
        <v>47</v>
      </c>
      <c r="O426" t="s">
        <v>24</v>
      </c>
      <c r="P426" t="s">
        <v>86</v>
      </c>
    </row>
    <row r="427" spans="1:16" x14ac:dyDescent="0.25">
      <c r="A427" t="s">
        <v>616</v>
      </c>
      <c r="B427" s="2">
        <v>45993</v>
      </c>
      <c r="C427" t="s">
        <v>302</v>
      </c>
      <c r="D427" t="s">
        <v>18</v>
      </c>
      <c r="E427">
        <v>38</v>
      </c>
      <c r="F427" t="s">
        <v>19</v>
      </c>
      <c r="G427" t="s">
        <v>68</v>
      </c>
      <c r="H427" t="s">
        <v>137</v>
      </c>
      <c r="I427">
        <v>4</v>
      </c>
      <c r="J427">
        <v>299</v>
      </c>
      <c r="K427">
        <v>1196</v>
      </c>
      <c r="L427">
        <v>20</v>
      </c>
      <c r="M427" t="s">
        <v>85</v>
      </c>
      <c r="N427" t="s">
        <v>23</v>
      </c>
      <c r="O427" t="s">
        <v>24</v>
      </c>
      <c r="P427" t="s">
        <v>57</v>
      </c>
    </row>
    <row r="428" spans="1:16" x14ac:dyDescent="0.25">
      <c r="A428" t="s">
        <v>617</v>
      </c>
      <c r="B428" s="2">
        <v>45868</v>
      </c>
      <c r="C428" t="s">
        <v>360</v>
      </c>
      <c r="D428" t="s">
        <v>35</v>
      </c>
      <c r="E428">
        <v>58</v>
      </c>
      <c r="F428" t="s">
        <v>43</v>
      </c>
      <c r="G428" t="s">
        <v>29</v>
      </c>
      <c r="H428" t="s">
        <v>108</v>
      </c>
      <c r="I428">
        <v>3</v>
      </c>
      <c r="J428">
        <v>799</v>
      </c>
      <c r="K428">
        <v>2397</v>
      </c>
      <c r="L428">
        <v>5</v>
      </c>
      <c r="M428" t="s">
        <v>53</v>
      </c>
      <c r="N428" t="s">
        <v>23</v>
      </c>
      <c r="O428" t="s">
        <v>24</v>
      </c>
      <c r="P428" t="s">
        <v>32</v>
      </c>
    </row>
    <row r="429" spans="1:16" x14ac:dyDescent="0.25">
      <c r="A429" t="s">
        <v>618</v>
      </c>
      <c r="B429" s="2">
        <v>45968</v>
      </c>
      <c r="C429" t="s">
        <v>302</v>
      </c>
      <c r="D429" t="s">
        <v>18</v>
      </c>
      <c r="E429">
        <v>56</v>
      </c>
      <c r="F429" t="s">
        <v>76</v>
      </c>
      <c r="G429" t="s">
        <v>20</v>
      </c>
      <c r="H429" t="s">
        <v>81</v>
      </c>
      <c r="I429">
        <v>5</v>
      </c>
      <c r="J429">
        <v>499</v>
      </c>
      <c r="K429">
        <v>2495</v>
      </c>
      <c r="L429">
        <v>5</v>
      </c>
      <c r="M429" t="s">
        <v>38</v>
      </c>
      <c r="N429" t="s">
        <v>31</v>
      </c>
      <c r="O429" t="s">
        <v>24</v>
      </c>
      <c r="P429" t="s">
        <v>82</v>
      </c>
    </row>
    <row r="430" spans="1:16" x14ac:dyDescent="0.25">
      <c r="A430" t="s">
        <v>619</v>
      </c>
      <c r="B430" s="2">
        <v>46022</v>
      </c>
      <c r="C430" t="s">
        <v>164</v>
      </c>
      <c r="D430" t="s">
        <v>35</v>
      </c>
      <c r="E430">
        <v>29</v>
      </c>
      <c r="F430" t="s">
        <v>28</v>
      </c>
      <c r="G430" t="s">
        <v>29</v>
      </c>
      <c r="H430" t="s">
        <v>200</v>
      </c>
      <c r="I430">
        <v>5</v>
      </c>
      <c r="J430">
        <v>999</v>
      </c>
      <c r="K430">
        <v>4995</v>
      </c>
      <c r="L430">
        <v>15</v>
      </c>
      <c r="M430" t="s">
        <v>22</v>
      </c>
      <c r="N430" t="s">
        <v>47</v>
      </c>
      <c r="O430" t="s">
        <v>24</v>
      </c>
      <c r="P430" t="s">
        <v>54</v>
      </c>
    </row>
    <row r="431" spans="1:16" x14ac:dyDescent="0.25">
      <c r="A431" t="s">
        <v>620</v>
      </c>
      <c r="B431" s="2">
        <v>45796</v>
      </c>
      <c r="C431" t="s">
        <v>93</v>
      </c>
      <c r="D431" t="s">
        <v>18</v>
      </c>
      <c r="E431">
        <v>60</v>
      </c>
      <c r="F431" t="s">
        <v>76</v>
      </c>
      <c r="G431" t="s">
        <v>29</v>
      </c>
      <c r="H431" t="s">
        <v>108</v>
      </c>
      <c r="I431">
        <v>4</v>
      </c>
      <c r="J431">
        <v>199</v>
      </c>
      <c r="K431">
        <v>796</v>
      </c>
      <c r="L431">
        <v>5</v>
      </c>
      <c r="M431" t="s">
        <v>38</v>
      </c>
      <c r="N431" t="s">
        <v>47</v>
      </c>
      <c r="O431" t="s">
        <v>39</v>
      </c>
      <c r="P431" t="s">
        <v>40</v>
      </c>
    </row>
    <row r="432" spans="1:16" x14ac:dyDescent="0.25">
      <c r="A432" t="s">
        <v>621</v>
      </c>
      <c r="B432" s="2">
        <v>45876</v>
      </c>
      <c r="C432" t="s">
        <v>129</v>
      </c>
      <c r="D432" t="s">
        <v>18</v>
      </c>
      <c r="E432">
        <v>56</v>
      </c>
      <c r="F432" t="s">
        <v>28</v>
      </c>
      <c r="G432" t="s">
        <v>36</v>
      </c>
      <c r="H432" t="s">
        <v>37</v>
      </c>
      <c r="I432">
        <v>4</v>
      </c>
      <c r="J432">
        <v>399</v>
      </c>
      <c r="K432">
        <v>1596</v>
      </c>
      <c r="L432">
        <v>10</v>
      </c>
      <c r="M432" t="s">
        <v>22</v>
      </c>
      <c r="N432" t="s">
        <v>23</v>
      </c>
      <c r="O432" t="s">
        <v>48</v>
      </c>
      <c r="P432" t="s">
        <v>203</v>
      </c>
    </row>
    <row r="433" spans="1:16" x14ac:dyDescent="0.25">
      <c r="A433" t="s">
        <v>622</v>
      </c>
      <c r="B433" s="2">
        <v>45923</v>
      </c>
      <c r="C433" t="s">
        <v>56</v>
      </c>
      <c r="D433" t="s">
        <v>35</v>
      </c>
      <c r="E433">
        <v>20</v>
      </c>
      <c r="F433" t="s">
        <v>28</v>
      </c>
      <c r="G433" t="s">
        <v>36</v>
      </c>
      <c r="H433" t="s">
        <v>355</v>
      </c>
      <c r="I433">
        <v>1</v>
      </c>
      <c r="J433">
        <v>399</v>
      </c>
      <c r="K433">
        <v>399</v>
      </c>
      <c r="L433">
        <v>20</v>
      </c>
      <c r="M433" t="s">
        <v>38</v>
      </c>
      <c r="N433" t="s">
        <v>47</v>
      </c>
      <c r="O433" t="s">
        <v>39</v>
      </c>
      <c r="P433" t="s">
        <v>62</v>
      </c>
    </row>
    <row r="434" spans="1:16" x14ac:dyDescent="0.25">
      <c r="A434" t="s">
        <v>623</v>
      </c>
      <c r="B434" s="2">
        <v>45743</v>
      </c>
      <c r="C434" t="s">
        <v>606</v>
      </c>
      <c r="D434" t="s">
        <v>35</v>
      </c>
      <c r="E434">
        <v>57</v>
      </c>
      <c r="F434" t="s">
        <v>98</v>
      </c>
      <c r="G434" t="s">
        <v>36</v>
      </c>
      <c r="H434" t="s">
        <v>37</v>
      </c>
      <c r="I434">
        <v>3</v>
      </c>
      <c r="J434">
        <v>999</v>
      </c>
      <c r="K434">
        <v>2997</v>
      </c>
      <c r="L434">
        <v>20</v>
      </c>
      <c r="M434" t="s">
        <v>53</v>
      </c>
      <c r="N434" t="s">
        <v>61</v>
      </c>
      <c r="O434" t="s">
        <v>48</v>
      </c>
      <c r="P434" t="s">
        <v>62</v>
      </c>
    </row>
    <row r="435" spans="1:16" x14ac:dyDescent="0.25">
      <c r="A435" t="s">
        <v>624</v>
      </c>
      <c r="B435" s="2">
        <v>45957</v>
      </c>
      <c r="C435" t="s">
        <v>145</v>
      </c>
      <c r="D435" t="s">
        <v>18</v>
      </c>
      <c r="E435">
        <v>43</v>
      </c>
      <c r="F435" t="s">
        <v>28</v>
      </c>
      <c r="G435" t="s">
        <v>20</v>
      </c>
      <c r="H435" t="s">
        <v>81</v>
      </c>
      <c r="I435">
        <v>1</v>
      </c>
      <c r="J435">
        <v>299</v>
      </c>
      <c r="K435">
        <v>299</v>
      </c>
      <c r="L435">
        <v>10</v>
      </c>
      <c r="M435" t="s">
        <v>22</v>
      </c>
      <c r="N435" t="s">
        <v>23</v>
      </c>
      <c r="O435" t="s">
        <v>24</v>
      </c>
      <c r="P435" t="s">
        <v>62</v>
      </c>
    </row>
    <row r="436" spans="1:16" x14ac:dyDescent="0.25">
      <c r="A436" t="s">
        <v>625</v>
      </c>
      <c r="B436" s="2">
        <v>45786</v>
      </c>
      <c r="C436" t="s">
        <v>139</v>
      </c>
      <c r="D436" t="s">
        <v>18</v>
      </c>
      <c r="E436">
        <v>25</v>
      </c>
      <c r="F436" t="s">
        <v>19</v>
      </c>
      <c r="G436" t="s">
        <v>68</v>
      </c>
      <c r="H436" t="s">
        <v>137</v>
      </c>
      <c r="I436">
        <v>4</v>
      </c>
      <c r="J436">
        <v>249</v>
      </c>
      <c r="K436">
        <v>996</v>
      </c>
      <c r="L436">
        <v>0</v>
      </c>
      <c r="M436" t="s">
        <v>22</v>
      </c>
      <c r="N436" t="s">
        <v>31</v>
      </c>
      <c r="O436" t="s">
        <v>24</v>
      </c>
      <c r="P436" t="s">
        <v>78</v>
      </c>
    </row>
    <row r="437" spans="1:16" x14ac:dyDescent="0.25">
      <c r="A437" t="s">
        <v>626</v>
      </c>
      <c r="B437" s="2">
        <v>45851</v>
      </c>
      <c r="C437" t="s">
        <v>97</v>
      </c>
      <c r="D437" t="s">
        <v>35</v>
      </c>
      <c r="E437">
        <v>20</v>
      </c>
      <c r="F437" t="s">
        <v>124</v>
      </c>
      <c r="G437" t="s">
        <v>36</v>
      </c>
      <c r="H437" t="s">
        <v>133</v>
      </c>
      <c r="I437">
        <v>5</v>
      </c>
      <c r="J437">
        <v>299</v>
      </c>
      <c r="K437">
        <v>1495</v>
      </c>
      <c r="L437">
        <v>10</v>
      </c>
      <c r="M437" t="s">
        <v>85</v>
      </c>
      <c r="N437" t="s">
        <v>47</v>
      </c>
      <c r="O437" t="s">
        <v>24</v>
      </c>
      <c r="P437" t="s">
        <v>65</v>
      </c>
    </row>
    <row r="438" spans="1:16" x14ac:dyDescent="0.25">
      <c r="A438" t="s">
        <v>627</v>
      </c>
      <c r="B438" s="2">
        <v>45816</v>
      </c>
      <c r="C438" t="s">
        <v>495</v>
      </c>
      <c r="D438" t="s">
        <v>35</v>
      </c>
      <c r="E438">
        <v>36</v>
      </c>
      <c r="F438" t="s">
        <v>124</v>
      </c>
      <c r="G438" t="s">
        <v>29</v>
      </c>
      <c r="H438" t="s">
        <v>108</v>
      </c>
      <c r="I438">
        <v>4</v>
      </c>
      <c r="J438">
        <v>499</v>
      </c>
      <c r="K438">
        <v>1996</v>
      </c>
      <c r="L438">
        <v>0</v>
      </c>
      <c r="M438" t="s">
        <v>53</v>
      </c>
      <c r="N438" t="s">
        <v>47</v>
      </c>
      <c r="O438" t="s">
        <v>24</v>
      </c>
      <c r="P438" t="s">
        <v>40</v>
      </c>
    </row>
    <row r="439" spans="1:16" x14ac:dyDescent="0.25">
      <c r="A439" t="s">
        <v>628</v>
      </c>
      <c r="B439" s="2">
        <v>45913</v>
      </c>
      <c r="C439" t="s">
        <v>114</v>
      </c>
      <c r="D439" t="s">
        <v>18</v>
      </c>
      <c r="E439">
        <v>56</v>
      </c>
      <c r="F439" t="s">
        <v>51</v>
      </c>
      <c r="G439" t="s">
        <v>44</v>
      </c>
      <c r="H439" t="s">
        <v>45</v>
      </c>
      <c r="I439">
        <v>4</v>
      </c>
      <c r="J439">
        <v>999</v>
      </c>
      <c r="K439">
        <v>3996</v>
      </c>
      <c r="L439">
        <v>5</v>
      </c>
      <c r="M439" t="s">
        <v>53</v>
      </c>
      <c r="N439" t="s">
        <v>61</v>
      </c>
      <c r="O439" t="s">
        <v>39</v>
      </c>
      <c r="P439" t="s">
        <v>134</v>
      </c>
    </row>
    <row r="440" spans="1:16" x14ac:dyDescent="0.25">
      <c r="A440" t="s">
        <v>629</v>
      </c>
      <c r="B440" s="2">
        <v>45661</v>
      </c>
      <c r="C440" t="s">
        <v>259</v>
      </c>
      <c r="D440" t="s">
        <v>35</v>
      </c>
      <c r="E440">
        <v>57</v>
      </c>
      <c r="F440" t="s">
        <v>76</v>
      </c>
      <c r="G440" t="s">
        <v>36</v>
      </c>
      <c r="H440" t="s">
        <v>156</v>
      </c>
      <c r="I440">
        <v>5</v>
      </c>
      <c r="J440">
        <v>1499</v>
      </c>
      <c r="K440">
        <v>7495</v>
      </c>
      <c r="L440">
        <v>0</v>
      </c>
      <c r="M440" t="s">
        <v>53</v>
      </c>
      <c r="N440" t="s">
        <v>47</v>
      </c>
      <c r="O440" t="s">
        <v>24</v>
      </c>
      <c r="P440" t="s">
        <v>125</v>
      </c>
    </row>
    <row r="441" spans="1:16" x14ac:dyDescent="0.25">
      <c r="A441" t="s">
        <v>630</v>
      </c>
      <c r="B441" s="2">
        <v>45953</v>
      </c>
      <c r="C441" t="s">
        <v>221</v>
      </c>
      <c r="D441" t="s">
        <v>35</v>
      </c>
      <c r="E441">
        <v>39</v>
      </c>
      <c r="F441" t="s">
        <v>19</v>
      </c>
      <c r="G441" t="s">
        <v>20</v>
      </c>
      <c r="H441" t="s">
        <v>52</v>
      </c>
      <c r="I441">
        <v>1</v>
      </c>
      <c r="J441">
        <v>1999</v>
      </c>
      <c r="K441">
        <v>1999</v>
      </c>
      <c r="L441">
        <v>0</v>
      </c>
      <c r="M441" t="s">
        <v>38</v>
      </c>
      <c r="N441" t="s">
        <v>61</v>
      </c>
      <c r="O441" t="s">
        <v>24</v>
      </c>
      <c r="P441" t="s">
        <v>32</v>
      </c>
    </row>
    <row r="442" spans="1:16" x14ac:dyDescent="0.25">
      <c r="A442" t="s">
        <v>631</v>
      </c>
      <c r="B442" s="2">
        <v>45945</v>
      </c>
      <c r="C442" t="s">
        <v>224</v>
      </c>
      <c r="D442" t="s">
        <v>35</v>
      </c>
      <c r="E442">
        <v>55</v>
      </c>
      <c r="F442" t="s">
        <v>60</v>
      </c>
      <c r="G442" t="s">
        <v>44</v>
      </c>
      <c r="H442" t="s">
        <v>151</v>
      </c>
      <c r="I442">
        <v>5</v>
      </c>
      <c r="J442">
        <v>1499</v>
      </c>
      <c r="K442">
        <v>7495</v>
      </c>
      <c r="L442">
        <v>0</v>
      </c>
      <c r="M442" t="s">
        <v>38</v>
      </c>
      <c r="N442" t="s">
        <v>31</v>
      </c>
      <c r="O442" t="s">
        <v>39</v>
      </c>
      <c r="P442" t="s">
        <v>125</v>
      </c>
    </row>
    <row r="443" spans="1:16" x14ac:dyDescent="0.25">
      <c r="A443" t="s">
        <v>632</v>
      </c>
      <c r="B443" s="2">
        <v>45691</v>
      </c>
      <c r="C443" t="s">
        <v>180</v>
      </c>
      <c r="D443" t="s">
        <v>35</v>
      </c>
      <c r="E443">
        <v>26</v>
      </c>
      <c r="F443" t="s">
        <v>19</v>
      </c>
      <c r="G443" t="s">
        <v>36</v>
      </c>
      <c r="H443" t="s">
        <v>156</v>
      </c>
      <c r="I443">
        <v>4</v>
      </c>
      <c r="J443">
        <v>1299</v>
      </c>
      <c r="K443">
        <v>5196</v>
      </c>
      <c r="L443">
        <v>10</v>
      </c>
      <c r="M443" t="s">
        <v>46</v>
      </c>
      <c r="N443" t="s">
        <v>61</v>
      </c>
      <c r="O443" t="s">
        <v>48</v>
      </c>
      <c r="P443" t="s">
        <v>54</v>
      </c>
    </row>
    <row r="444" spans="1:16" x14ac:dyDescent="0.25">
      <c r="A444" t="s">
        <v>633</v>
      </c>
      <c r="B444" s="2">
        <v>45950</v>
      </c>
      <c r="C444" t="s">
        <v>495</v>
      </c>
      <c r="D444" t="s">
        <v>18</v>
      </c>
      <c r="E444">
        <v>48</v>
      </c>
      <c r="F444" t="s">
        <v>43</v>
      </c>
      <c r="G444" t="s">
        <v>29</v>
      </c>
      <c r="H444" t="s">
        <v>200</v>
      </c>
      <c r="I444">
        <v>1</v>
      </c>
      <c r="J444">
        <v>249</v>
      </c>
      <c r="K444">
        <v>249</v>
      </c>
      <c r="L444">
        <v>15</v>
      </c>
      <c r="M444" t="s">
        <v>85</v>
      </c>
      <c r="N444" t="s">
        <v>31</v>
      </c>
      <c r="O444" t="s">
        <v>39</v>
      </c>
      <c r="P444" t="s">
        <v>78</v>
      </c>
    </row>
    <row r="445" spans="1:16" x14ac:dyDescent="0.25">
      <c r="A445" t="s">
        <v>634</v>
      </c>
      <c r="B445" s="2">
        <v>45972</v>
      </c>
      <c r="C445" t="s">
        <v>302</v>
      </c>
      <c r="D445" t="s">
        <v>35</v>
      </c>
      <c r="E445">
        <v>51</v>
      </c>
      <c r="F445" t="s">
        <v>51</v>
      </c>
      <c r="G445" t="s">
        <v>68</v>
      </c>
      <c r="H445" t="s">
        <v>94</v>
      </c>
      <c r="I445">
        <v>3</v>
      </c>
      <c r="J445">
        <v>299</v>
      </c>
      <c r="K445">
        <v>897</v>
      </c>
      <c r="L445">
        <v>15</v>
      </c>
      <c r="M445" t="s">
        <v>53</v>
      </c>
      <c r="N445" t="s">
        <v>47</v>
      </c>
      <c r="O445" t="s">
        <v>48</v>
      </c>
      <c r="P445" t="s">
        <v>86</v>
      </c>
    </row>
    <row r="446" spans="1:16" x14ac:dyDescent="0.25">
      <c r="A446" t="s">
        <v>635</v>
      </c>
      <c r="B446" s="2">
        <v>45896</v>
      </c>
      <c r="C446" t="s">
        <v>199</v>
      </c>
      <c r="D446" t="s">
        <v>18</v>
      </c>
      <c r="E446">
        <v>31</v>
      </c>
      <c r="F446" t="s">
        <v>28</v>
      </c>
      <c r="G446" t="s">
        <v>29</v>
      </c>
      <c r="H446" t="s">
        <v>108</v>
      </c>
      <c r="I446">
        <v>1</v>
      </c>
      <c r="J446">
        <v>199</v>
      </c>
      <c r="K446">
        <v>199</v>
      </c>
      <c r="L446">
        <v>15</v>
      </c>
      <c r="M446" t="s">
        <v>38</v>
      </c>
      <c r="N446" t="s">
        <v>31</v>
      </c>
      <c r="O446" t="s">
        <v>39</v>
      </c>
      <c r="P446" t="s">
        <v>103</v>
      </c>
    </row>
    <row r="447" spans="1:16" x14ac:dyDescent="0.25">
      <c r="A447" t="s">
        <v>636</v>
      </c>
      <c r="B447" s="2">
        <v>45802</v>
      </c>
      <c r="C447" t="s">
        <v>197</v>
      </c>
      <c r="D447" t="s">
        <v>18</v>
      </c>
      <c r="E447">
        <v>37</v>
      </c>
      <c r="F447" t="s">
        <v>43</v>
      </c>
      <c r="G447" t="s">
        <v>29</v>
      </c>
      <c r="H447" t="s">
        <v>108</v>
      </c>
      <c r="I447">
        <v>2</v>
      </c>
      <c r="J447">
        <v>2499</v>
      </c>
      <c r="K447">
        <v>4998</v>
      </c>
      <c r="L447">
        <v>20</v>
      </c>
      <c r="M447" t="s">
        <v>85</v>
      </c>
      <c r="N447" t="s">
        <v>31</v>
      </c>
      <c r="O447" t="s">
        <v>24</v>
      </c>
      <c r="P447" t="s">
        <v>203</v>
      </c>
    </row>
    <row r="448" spans="1:16" x14ac:dyDescent="0.25">
      <c r="A448" t="s">
        <v>637</v>
      </c>
      <c r="B448" s="2">
        <v>45949</v>
      </c>
      <c r="C448" t="s">
        <v>239</v>
      </c>
      <c r="D448" t="s">
        <v>18</v>
      </c>
      <c r="E448">
        <v>29</v>
      </c>
      <c r="F448" t="s">
        <v>76</v>
      </c>
      <c r="G448" t="s">
        <v>44</v>
      </c>
      <c r="H448" t="s">
        <v>177</v>
      </c>
      <c r="I448">
        <v>4</v>
      </c>
      <c r="J448">
        <v>2499</v>
      </c>
      <c r="K448">
        <v>9996</v>
      </c>
      <c r="L448">
        <v>10</v>
      </c>
      <c r="M448" t="s">
        <v>46</v>
      </c>
      <c r="N448" t="s">
        <v>61</v>
      </c>
      <c r="O448" t="s">
        <v>39</v>
      </c>
      <c r="P448" t="s">
        <v>117</v>
      </c>
    </row>
    <row r="449" spans="1:16" x14ac:dyDescent="0.25">
      <c r="A449" t="s">
        <v>638</v>
      </c>
      <c r="B449" s="2">
        <v>45893</v>
      </c>
      <c r="C449" t="s">
        <v>56</v>
      </c>
      <c r="D449" t="s">
        <v>35</v>
      </c>
      <c r="E449">
        <v>47</v>
      </c>
      <c r="F449" t="s">
        <v>28</v>
      </c>
      <c r="G449" t="s">
        <v>29</v>
      </c>
      <c r="H449" t="s">
        <v>140</v>
      </c>
      <c r="I449">
        <v>2</v>
      </c>
      <c r="J449">
        <v>1999</v>
      </c>
      <c r="K449">
        <v>3998</v>
      </c>
      <c r="L449">
        <v>0</v>
      </c>
      <c r="M449" t="s">
        <v>85</v>
      </c>
      <c r="N449" t="s">
        <v>31</v>
      </c>
      <c r="O449" t="s">
        <v>48</v>
      </c>
      <c r="P449" t="s">
        <v>57</v>
      </c>
    </row>
    <row r="450" spans="1:16" x14ac:dyDescent="0.25">
      <c r="A450" t="s">
        <v>639</v>
      </c>
      <c r="B450" s="2">
        <v>45953</v>
      </c>
      <c r="C450" t="s">
        <v>377</v>
      </c>
      <c r="D450" t="s">
        <v>35</v>
      </c>
      <c r="E450">
        <v>40</v>
      </c>
      <c r="F450" t="s">
        <v>19</v>
      </c>
      <c r="G450" t="s">
        <v>68</v>
      </c>
      <c r="H450" t="s">
        <v>94</v>
      </c>
      <c r="I450">
        <v>1</v>
      </c>
      <c r="J450">
        <v>399</v>
      </c>
      <c r="K450">
        <v>399</v>
      </c>
      <c r="L450">
        <v>5</v>
      </c>
      <c r="M450" t="s">
        <v>46</v>
      </c>
      <c r="N450" t="s">
        <v>23</v>
      </c>
      <c r="O450" t="s">
        <v>39</v>
      </c>
      <c r="P450" t="s">
        <v>157</v>
      </c>
    </row>
    <row r="451" spans="1:16" x14ac:dyDescent="0.25">
      <c r="A451" t="s">
        <v>640</v>
      </c>
      <c r="B451" s="2">
        <v>45857</v>
      </c>
      <c r="C451" t="s">
        <v>452</v>
      </c>
      <c r="D451" t="s">
        <v>18</v>
      </c>
      <c r="E451">
        <v>37</v>
      </c>
      <c r="F451" t="s">
        <v>60</v>
      </c>
      <c r="G451" t="s">
        <v>68</v>
      </c>
      <c r="H451" t="s">
        <v>137</v>
      </c>
      <c r="I451">
        <v>5</v>
      </c>
      <c r="J451">
        <v>1499</v>
      </c>
      <c r="K451">
        <v>7495</v>
      </c>
      <c r="L451">
        <v>0</v>
      </c>
      <c r="M451" t="s">
        <v>46</v>
      </c>
      <c r="N451" t="s">
        <v>61</v>
      </c>
      <c r="O451" t="s">
        <v>24</v>
      </c>
      <c r="P451" t="s">
        <v>82</v>
      </c>
    </row>
    <row r="452" spans="1:16" x14ac:dyDescent="0.25">
      <c r="A452" t="s">
        <v>641</v>
      </c>
      <c r="B452" s="2">
        <v>45768</v>
      </c>
      <c r="C452" t="s">
        <v>286</v>
      </c>
      <c r="D452" t="s">
        <v>35</v>
      </c>
      <c r="E452">
        <v>29</v>
      </c>
      <c r="F452" t="s">
        <v>19</v>
      </c>
      <c r="G452" t="s">
        <v>29</v>
      </c>
      <c r="H452" t="s">
        <v>64</v>
      </c>
      <c r="I452">
        <v>4</v>
      </c>
      <c r="J452">
        <v>499</v>
      </c>
      <c r="K452">
        <v>1996</v>
      </c>
      <c r="L452">
        <v>10</v>
      </c>
      <c r="M452" t="s">
        <v>38</v>
      </c>
      <c r="N452" t="s">
        <v>47</v>
      </c>
      <c r="O452" t="s">
        <v>24</v>
      </c>
      <c r="P452" t="s">
        <v>62</v>
      </c>
    </row>
    <row r="453" spans="1:16" x14ac:dyDescent="0.25">
      <c r="A453" t="s">
        <v>642</v>
      </c>
      <c r="B453" s="2">
        <v>45736</v>
      </c>
      <c r="C453" t="s">
        <v>266</v>
      </c>
      <c r="D453" t="s">
        <v>35</v>
      </c>
      <c r="E453">
        <v>48</v>
      </c>
      <c r="F453" t="s">
        <v>43</v>
      </c>
      <c r="G453" t="s">
        <v>68</v>
      </c>
      <c r="H453" t="s">
        <v>73</v>
      </c>
      <c r="I453">
        <v>4</v>
      </c>
      <c r="J453">
        <v>1299</v>
      </c>
      <c r="K453">
        <v>5196</v>
      </c>
      <c r="L453">
        <v>10</v>
      </c>
      <c r="M453" t="s">
        <v>53</v>
      </c>
      <c r="N453" t="s">
        <v>23</v>
      </c>
      <c r="O453" t="s">
        <v>48</v>
      </c>
      <c r="P453" t="s">
        <v>65</v>
      </c>
    </row>
    <row r="454" spans="1:16" x14ac:dyDescent="0.25">
      <c r="A454" t="s">
        <v>643</v>
      </c>
      <c r="B454" s="2">
        <v>45925</v>
      </c>
      <c r="C454" t="s">
        <v>80</v>
      </c>
      <c r="D454" t="s">
        <v>18</v>
      </c>
      <c r="E454">
        <v>37</v>
      </c>
      <c r="F454" t="s">
        <v>98</v>
      </c>
      <c r="G454" t="s">
        <v>29</v>
      </c>
      <c r="H454" t="s">
        <v>108</v>
      </c>
      <c r="I454">
        <v>4</v>
      </c>
      <c r="J454">
        <v>799</v>
      </c>
      <c r="K454">
        <v>3196</v>
      </c>
      <c r="L454">
        <v>20</v>
      </c>
      <c r="M454" t="s">
        <v>38</v>
      </c>
      <c r="N454" t="s">
        <v>31</v>
      </c>
      <c r="O454" t="s">
        <v>39</v>
      </c>
      <c r="P454" t="s">
        <v>117</v>
      </c>
    </row>
    <row r="455" spans="1:16" x14ac:dyDescent="0.25">
      <c r="A455" t="s">
        <v>644</v>
      </c>
      <c r="B455" s="2">
        <v>45953</v>
      </c>
      <c r="C455" t="s">
        <v>34</v>
      </c>
      <c r="D455" t="s">
        <v>35</v>
      </c>
      <c r="E455">
        <v>58</v>
      </c>
      <c r="F455" t="s">
        <v>76</v>
      </c>
      <c r="G455" t="s">
        <v>20</v>
      </c>
      <c r="H455" t="s">
        <v>81</v>
      </c>
      <c r="I455">
        <v>3</v>
      </c>
      <c r="J455">
        <v>199</v>
      </c>
      <c r="K455">
        <v>597</v>
      </c>
      <c r="L455">
        <v>10</v>
      </c>
      <c r="M455" t="s">
        <v>53</v>
      </c>
      <c r="N455" t="s">
        <v>47</v>
      </c>
      <c r="O455" t="s">
        <v>39</v>
      </c>
      <c r="P455" t="s">
        <v>70</v>
      </c>
    </row>
    <row r="456" spans="1:16" x14ac:dyDescent="0.25">
      <c r="A456" t="s">
        <v>645</v>
      </c>
      <c r="B456" s="2">
        <v>45718</v>
      </c>
      <c r="C456" t="s">
        <v>59</v>
      </c>
      <c r="D456" t="s">
        <v>18</v>
      </c>
      <c r="E456">
        <v>28</v>
      </c>
      <c r="F456" t="s">
        <v>43</v>
      </c>
      <c r="G456" t="s">
        <v>68</v>
      </c>
      <c r="H456" t="s">
        <v>171</v>
      </c>
      <c r="I456">
        <v>4</v>
      </c>
      <c r="J456">
        <v>1999</v>
      </c>
      <c r="K456">
        <v>7996</v>
      </c>
      <c r="L456">
        <v>0</v>
      </c>
      <c r="M456" t="s">
        <v>38</v>
      </c>
      <c r="N456" t="s">
        <v>23</v>
      </c>
      <c r="O456" t="s">
        <v>24</v>
      </c>
      <c r="P456" t="s">
        <v>103</v>
      </c>
    </row>
    <row r="457" spans="1:16" x14ac:dyDescent="0.25">
      <c r="A457" t="s">
        <v>646</v>
      </c>
      <c r="B457" s="2">
        <v>45730</v>
      </c>
      <c r="C457" t="s">
        <v>257</v>
      </c>
      <c r="D457" t="s">
        <v>35</v>
      </c>
      <c r="E457">
        <v>54</v>
      </c>
      <c r="F457" t="s">
        <v>76</v>
      </c>
      <c r="G457" t="s">
        <v>44</v>
      </c>
      <c r="H457" t="s">
        <v>151</v>
      </c>
      <c r="I457">
        <v>3</v>
      </c>
      <c r="J457">
        <v>499</v>
      </c>
      <c r="K457">
        <v>1497</v>
      </c>
      <c r="L457">
        <v>5</v>
      </c>
      <c r="M457" t="s">
        <v>38</v>
      </c>
      <c r="N457" t="s">
        <v>31</v>
      </c>
      <c r="O457" t="s">
        <v>48</v>
      </c>
      <c r="P457" t="s">
        <v>647</v>
      </c>
    </row>
    <row r="458" spans="1:16" x14ac:dyDescent="0.25">
      <c r="A458" t="s">
        <v>648</v>
      </c>
      <c r="B458" s="2">
        <v>45672</v>
      </c>
      <c r="C458" t="s">
        <v>84</v>
      </c>
      <c r="D458" t="s">
        <v>18</v>
      </c>
      <c r="E458">
        <v>24</v>
      </c>
      <c r="F458" t="s">
        <v>28</v>
      </c>
      <c r="G458" t="s">
        <v>68</v>
      </c>
      <c r="H458" t="s">
        <v>69</v>
      </c>
      <c r="I458">
        <v>1</v>
      </c>
      <c r="J458">
        <v>299</v>
      </c>
      <c r="K458">
        <v>299</v>
      </c>
      <c r="L458">
        <v>0</v>
      </c>
      <c r="M458" t="s">
        <v>38</v>
      </c>
      <c r="N458" t="s">
        <v>61</v>
      </c>
      <c r="O458" t="s">
        <v>39</v>
      </c>
      <c r="P458" t="s">
        <v>32</v>
      </c>
    </row>
    <row r="459" spans="1:16" x14ac:dyDescent="0.25">
      <c r="A459" t="s">
        <v>649</v>
      </c>
      <c r="B459" s="2">
        <v>45840</v>
      </c>
      <c r="C459" t="s">
        <v>294</v>
      </c>
      <c r="D459" t="s">
        <v>35</v>
      </c>
      <c r="E459">
        <v>30</v>
      </c>
      <c r="F459" t="s">
        <v>19</v>
      </c>
      <c r="G459" t="s">
        <v>68</v>
      </c>
      <c r="H459" t="s">
        <v>94</v>
      </c>
      <c r="I459">
        <v>4</v>
      </c>
      <c r="J459">
        <v>1499</v>
      </c>
      <c r="K459">
        <v>5996</v>
      </c>
      <c r="L459">
        <v>15</v>
      </c>
      <c r="M459" t="s">
        <v>85</v>
      </c>
      <c r="N459" t="s">
        <v>47</v>
      </c>
      <c r="O459" t="s">
        <v>24</v>
      </c>
      <c r="P459" t="s">
        <v>62</v>
      </c>
    </row>
    <row r="460" spans="1:16" x14ac:dyDescent="0.25">
      <c r="A460" t="s">
        <v>650</v>
      </c>
      <c r="B460" s="2">
        <v>45987</v>
      </c>
      <c r="C460" t="s">
        <v>257</v>
      </c>
      <c r="D460" t="s">
        <v>35</v>
      </c>
      <c r="E460">
        <v>48</v>
      </c>
      <c r="F460" t="s">
        <v>76</v>
      </c>
      <c r="G460" t="s">
        <v>20</v>
      </c>
      <c r="H460" t="s">
        <v>120</v>
      </c>
      <c r="I460">
        <v>3</v>
      </c>
      <c r="J460">
        <v>1999</v>
      </c>
      <c r="K460">
        <v>5997</v>
      </c>
      <c r="L460">
        <v>5</v>
      </c>
      <c r="M460" t="s">
        <v>53</v>
      </c>
      <c r="N460" t="s">
        <v>31</v>
      </c>
      <c r="O460" t="s">
        <v>39</v>
      </c>
      <c r="P460" t="s">
        <v>157</v>
      </c>
    </row>
    <row r="461" spans="1:16" x14ac:dyDescent="0.25">
      <c r="A461" t="s">
        <v>651</v>
      </c>
      <c r="B461" s="2">
        <v>45907</v>
      </c>
      <c r="C461" t="s">
        <v>161</v>
      </c>
      <c r="D461" t="s">
        <v>18</v>
      </c>
      <c r="E461">
        <v>48</v>
      </c>
      <c r="F461" t="s">
        <v>19</v>
      </c>
      <c r="G461" t="s">
        <v>29</v>
      </c>
      <c r="H461" t="s">
        <v>64</v>
      </c>
      <c r="I461">
        <v>3</v>
      </c>
      <c r="J461">
        <v>999</v>
      </c>
      <c r="K461">
        <v>2997</v>
      </c>
      <c r="L461">
        <v>10</v>
      </c>
      <c r="M461" t="s">
        <v>22</v>
      </c>
      <c r="N461" t="s">
        <v>61</v>
      </c>
      <c r="O461" t="s">
        <v>24</v>
      </c>
      <c r="P461" t="s">
        <v>86</v>
      </c>
    </row>
    <row r="462" spans="1:16" x14ac:dyDescent="0.25">
      <c r="A462" t="s">
        <v>652</v>
      </c>
      <c r="B462" s="2">
        <v>45918</v>
      </c>
      <c r="C462" t="s">
        <v>75</v>
      </c>
      <c r="D462" t="s">
        <v>35</v>
      </c>
      <c r="E462">
        <v>24</v>
      </c>
      <c r="F462" t="s">
        <v>60</v>
      </c>
      <c r="G462" t="s">
        <v>44</v>
      </c>
      <c r="H462" t="s">
        <v>151</v>
      </c>
      <c r="I462">
        <v>5</v>
      </c>
      <c r="J462">
        <v>299</v>
      </c>
      <c r="K462">
        <v>1495</v>
      </c>
      <c r="L462">
        <v>20</v>
      </c>
      <c r="M462" t="s">
        <v>38</v>
      </c>
      <c r="N462" t="s">
        <v>31</v>
      </c>
      <c r="O462" t="s">
        <v>48</v>
      </c>
      <c r="P462" t="s">
        <v>62</v>
      </c>
    </row>
    <row r="463" spans="1:16" x14ac:dyDescent="0.25">
      <c r="A463" t="s">
        <v>653</v>
      </c>
      <c r="B463" s="2">
        <v>45975</v>
      </c>
      <c r="C463" t="s">
        <v>259</v>
      </c>
      <c r="D463" t="s">
        <v>18</v>
      </c>
      <c r="E463">
        <v>48</v>
      </c>
      <c r="F463" t="s">
        <v>28</v>
      </c>
      <c r="G463" t="s">
        <v>36</v>
      </c>
      <c r="H463" t="s">
        <v>133</v>
      </c>
      <c r="I463">
        <v>4</v>
      </c>
      <c r="J463">
        <v>399</v>
      </c>
      <c r="K463">
        <v>1596</v>
      </c>
      <c r="L463">
        <v>0</v>
      </c>
      <c r="M463" t="s">
        <v>46</v>
      </c>
      <c r="N463" t="s">
        <v>47</v>
      </c>
      <c r="O463" t="s">
        <v>48</v>
      </c>
      <c r="P463" t="s">
        <v>193</v>
      </c>
    </row>
    <row r="464" spans="1:16" x14ac:dyDescent="0.25">
      <c r="A464" t="s">
        <v>654</v>
      </c>
      <c r="B464" s="2">
        <v>45936</v>
      </c>
      <c r="C464" t="s">
        <v>153</v>
      </c>
      <c r="D464" t="s">
        <v>18</v>
      </c>
      <c r="E464">
        <v>29</v>
      </c>
      <c r="F464" t="s">
        <v>19</v>
      </c>
      <c r="G464" t="s">
        <v>36</v>
      </c>
      <c r="H464" t="s">
        <v>355</v>
      </c>
      <c r="I464">
        <v>5</v>
      </c>
      <c r="J464">
        <v>599</v>
      </c>
      <c r="K464">
        <v>2995</v>
      </c>
      <c r="L464">
        <v>20</v>
      </c>
      <c r="M464" t="s">
        <v>22</v>
      </c>
      <c r="N464" t="s">
        <v>23</v>
      </c>
      <c r="O464" t="s">
        <v>48</v>
      </c>
      <c r="P464" t="s">
        <v>40</v>
      </c>
    </row>
    <row r="465" spans="1:16" x14ac:dyDescent="0.25">
      <c r="A465" t="s">
        <v>655</v>
      </c>
      <c r="B465" s="2">
        <v>45885</v>
      </c>
      <c r="C465" t="s">
        <v>224</v>
      </c>
      <c r="D465" t="s">
        <v>35</v>
      </c>
      <c r="E465">
        <v>43</v>
      </c>
      <c r="F465" t="s">
        <v>19</v>
      </c>
      <c r="G465" t="s">
        <v>36</v>
      </c>
      <c r="H465" t="s">
        <v>37</v>
      </c>
      <c r="I465">
        <v>5</v>
      </c>
      <c r="J465">
        <v>249</v>
      </c>
      <c r="K465">
        <v>1245</v>
      </c>
      <c r="L465">
        <v>20</v>
      </c>
      <c r="M465" t="s">
        <v>38</v>
      </c>
      <c r="N465" t="s">
        <v>61</v>
      </c>
      <c r="O465" t="s">
        <v>39</v>
      </c>
      <c r="P465" t="s">
        <v>82</v>
      </c>
    </row>
    <row r="466" spans="1:16" x14ac:dyDescent="0.25">
      <c r="A466" t="s">
        <v>656</v>
      </c>
      <c r="B466" s="2">
        <v>45955</v>
      </c>
      <c r="C466" t="s">
        <v>72</v>
      </c>
      <c r="D466" t="s">
        <v>18</v>
      </c>
      <c r="E466">
        <v>27</v>
      </c>
      <c r="F466" t="s">
        <v>124</v>
      </c>
      <c r="G466" t="s">
        <v>20</v>
      </c>
      <c r="H466" t="s">
        <v>21</v>
      </c>
      <c r="I466">
        <v>2</v>
      </c>
      <c r="J466">
        <v>299</v>
      </c>
      <c r="K466">
        <v>598</v>
      </c>
      <c r="L466">
        <v>15</v>
      </c>
      <c r="M466" t="s">
        <v>85</v>
      </c>
      <c r="N466" t="s">
        <v>31</v>
      </c>
      <c r="O466" t="s">
        <v>39</v>
      </c>
      <c r="P466" t="s">
        <v>40</v>
      </c>
    </row>
    <row r="467" spans="1:16" x14ac:dyDescent="0.25">
      <c r="A467" t="s">
        <v>657</v>
      </c>
      <c r="B467" s="2">
        <v>46006</v>
      </c>
      <c r="C467" t="s">
        <v>304</v>
      </c>
      <c r="D467" t="s">
        <v>35</v>
      </c>
      <c r="E467">
        <v>54</v>
      </c>
      <c r="F467" t="s">
        <v>43</v>
      </c>
      <c r="G467" t="s">
        <v>68</v>
      </c>
      <c r="H467" t="s">
        <v>69</v>
      </c>
      <c r="I467">
        <v>2</v>
      </c>
      <c r="J467">
        <v>399</v>
      </c>
      <c r="K467">
        <v>798</v>
      </c>
      <c r="L467">
        <v>15</v>
      </c>
      <c r="M467" t="s">
        <v>46</v>
      </c>
      <c r="N467" t="s">
        <v>23</v>
      </c>
      <c r="O467" t="s">
        <v>48</v>
      </c>
      <c r="P467" t="s">
        <v>121</v>
      </c>
    </row>
    <row r="468" spans="1:16" x14ac:dyDescent="0.25">
      <c r="A468" t="s">
        <v>658</v>
      </c>
      <c r="B468" s="2">
        <v>45808</v>
      </c>
      <c r="C468" t="s">
        <v>105</v>
      </c>
      <c r="D468" t="s">
        <v>35</v>
      </c>
      <c r="E468">
        <v>53</v>
      </c>
      <c r="F468" t="s">
        <v>98</v>
      </c>
      <c r="G468" t="s">
        <v>68</v>
      </c>
      <c r="H468" t="s">
        <v>94</v>
      </c>
      <c r="I468">
        <v>4</v>
      </c>
      <c r="J468">
        <v>299</v>
      </c>
      <c r="K468">
        <v>1196</v>
      </c>
      <c r="L468">
        <v>0</v>
      </c>
      <c r="M468" t="s">
        <v>85</v>
      </c>
      <c r="N468" t="s">
        <v>31</v>
      </c>
      <c r="O468" t="s">
        <v>24</v>
      </c>
      <c r="P468" t="s">
        <v>86</v>
      </c>
    </row>
    <row r="469" spans="1:16" x14ac:dyDescent="0.25">
      <c r="A469" t="s">
        <v>659</v>
      </c>
      <c r="B469" s="2">
        <v>45960</v>
      </c>
      <c r="C469" t="s">
        <v>388</v>
      </c>
      <c r="D469" t="s">
        <v>35</v>
      </c>
      <c r="E469">
        <v>42</v>
      </c>
      <c r="F469" t="s">
        <v>28</v>
      </c>
      <c r="G469" t="s">
        <v>20</v>
      </c>
      <c r="H469" t="s">
        <v>52</v>
      </c>
      <c r="I469">
        <v>4</v>
      </c>
      <c r="J469">
        <v>2499</v>
      </c>
      <c r="K469">
        <v>9996</v>
      </c>
      <c r="L469">
        <v>15</v>
      </c>
      <c r="M469" t="s">
        <v>22</v>
      </c>
      <c r="N469" t="s">
        <v>47</v>
      </c>
      <c r="O469" t="s">
        <v>48</v>
      </c>
      <c r="P469" t="s">
        <v>32</v>
      </c>
    </row>
    <row r="470" spans="1:16" x14ac:dyDescent="0.25">
      <c r="A470" t="s">
        <v>660</v>
      </c>
      <c r="B470" s="2">
        <v>45854</v>
      </c>
      <c r="C470" t="s">
        <v>342</v>
      </c>
      <c r="D470" t="s">
        <v>35</v>
      </c>
      <c r="E470">
        <v>27</v>
      </c>
      <c r="F470" t="s">
        <v>43</v>
      </c>
      <c r="G470" t="s">
        <v>36</v>
      </c>
      <c r="H470" t="s">
        <v>102</v>
      </c>
      <c r="I470">
        <v>2</v>
      </c>
      <c r="J470">
        <v>1299</v>
      </c>
      <c r="K470">
        <v>2598</v>
      </c>
      <c r="L470">
        <v>5</v>
      </c>
      <c r="M470" t="s">
        <v>53</v>
      </c>
      <c r="N470" t="s">
        <v>23</v>
      </c>
      <c r="O470" t="s">
        <v>24</v>
      </c>
      <c r="P470" t="s">
        <v>121</v>
      </c>
    </row>
    <row r="471" spans="1:16" x14ac:dyDescent="0.25">
      <c r="A471" t="s">
        <v>661</v>
      </c>
      <c r="B471" s="2">
        <v>45701</v>
      </c>
      <c r="C471" t="s">
        <v>17</v>
      </c>
      <c r="D471" t="s">
        <v>35</v>
      </c>
      <c r="E471">
        <v>47</v>
      </c>
      <c r="F471" t="s">
        <v>28</v>
      </c>
      <c r="G471" t="s">
        <v>29</v>
      </c>
      <c r="H471" t="s">
        <v>140</v>
      </c>
      <c r="I471">
        <v>4</v>
      </c>
      <c r="J471">
        <v>299</v>
      </c>
      <c r="K471">
        <v>1196</v>
      </c>
      <c r="L471">
        <v>20</v>
      </c>
      <c r="M471" t="s">
        <v>53</v>
      </c>
      <c r="N471" t="s">
        <v>61</v>
      </c>
      <c r="O471" t="s">
        <v>48</v>
      </c>
      <c r="P471" t="s">
        <v>134</v>
      </c>
    </row>
    <row r="472" spans="1:16" x14ac:dyDescent="0.25">
      <c r="A472" t="s">
        <v>662</v>
      </c>
      <c r="B472" s="2">
        <v>45773</v>
      </c>
      <c r="C472" t="s">
        <v>452</v>
      </c>
      <c r="D472" t="s">
        <v>35</v>
      </c>
      <c r="E472">
        <v>56</v>
      </c>
      <c r="F472" t="s">
        <v>98</v>
      </c>
      <c r="G472" t="s">
        <v>68</v>
      </c>
      <c r="H472" t="s">
        <v>69</v>
      </c>
      <c r="I472">
        <v>4</v>
      </c>
      <c r="J472">
        <v>599</v>
      </c>
      <c r="K472">
        <v>2396</v>
      </c>
      <c r="L472">
        <v>20</v>
      </c>
      <c r="M472" t="s">
        <v>22</v>
      </c>
      <c r="N472" t="s">
        <v>47</v>
      </c>
      <c r="O472" t="s">
        <v>48</v>
      </c>
      <c r="P472" t="s">
        <v>78</v>
      </c>
    </row>
    <row r="473" spans="1:16" x14ac:dyDescent="0.25">
      <c r="A473" t="s">
        <v>663</v>
      </c>
      <c r="B473" s="2">
        <v>45845</v>
      </c>
      <c r="C473" t="s">
        <v>91</v>
      </c>
      <c r="D473" t="s">
        <v>18</v>
      </c>
      <c r="E473">
        <v>54</v>
      </c>
      <c r="F473" t="s">
        <v>51</v>
      </c>
      <c r="G473" t="s">
        <v>44</v>
      </c>
      <c r="H473" t="s">
        <v>99</v>
      </c>
      <c r="I473">
        <v>5</v>
      </c>
      <c r="J473">
        <v>1499</v>
      </c>
      <c r="K473">
        <v>7495</v>
      </c>
      <c r="L473">
        <v>10</v>
      </c>
      <c r="M473" t="s">
        <v>38</v>
      </c>
      <c r="N473" t="s">
        <v>61</v>
      </c>
      <c r="O473" t="s">
        <v>48</v>
      </c>
      <c r="P473" t="s">
        <v>25</v>
      </c>
    </row>
    <row r="474" spans="1:16" x14ac:dyDescent="0.25">
      <c r="A474" t="s">
        <v>664</v>
      </c>
      <c r="B474" s="2">
        <v>45922</v>
      </c>
      <c r="C474" t="s">
        <v>272</v>
      </c>
      <c r="D474" t="s">
        <v>18</v>
      </c>
      <c r="E474">
        <v>33</v>
      </c>
      <c r="F474" t="s">
        <v>51</v>
      </c>
      <c r="G474" t="s">
        <v>29</v>
      </c>
      <c r="H474" t="s">
        <v>200</v>
      </c>
      <c r="I474">
        <v>3</v>
      </c>
      <c r="J474">
        <v>999</v>
      </c>
      <c r="K474">
        <v>2997</v>
      </c>
      <c r="L474">
        <v>0</v>
      </c>
      <c r="M474" t="s">
        <v>85</v>
      </c>
      <c r="N474" t="s">
        <v>31</v>
      </c>
      <c r="O474" t="s">
        <v>48</v>
      </c>
      <c r="P474" t="s">
        <v>117</v>
      </c>
    </row>
    <row r="475" spans="1:16" x14ac:dyDescent="0.25">
      <c r="A475" t="s">
        <v>665</v>
      </c>
      <c r="B475" s="2">
        <v>45890</v>
      </c>
      <c r="C475" t="s">
        <v>205</v>
      </c>
      <c r="D475" t="s">
        <v>35</v>
      </c>
      <c r="E475">
        <v>54</v>
      </c>
      <c r="F475" t="s">
        <v>60</v>
      </c>
      <c r="G475" t="s">
        <v>44</v>
      </c>
      <c r="H475" t="s">
        <v>151</v>
      </c>
      <c r="I475">
        <v>1</v>
      </c>
      <c r="J475">
        <v>999</v>
      </c>
      <c r="K475">
        <v>999</v>
      </c>
      <c r="L475">
        <v>15</v>
      </c>
      <c r="M475" t="s">
        <v>46</v>
      </c>
      <c r="N475" t="s">
        <v>31</v>
      </c>
      <c r="O475" t="s">
        <v>39</v>
      </c>
      <c r="P475" t="s">
        <v>32</v>
      </c>
    </row>
    <row r="476" spans="1:16" x14ac:dyDescent="0.25">
      <c r="A476" t="s">
        <v>666</v>
      </c>
      <c r="B476" s="2">
        <v>45946</v>
      </c>
      <c r="C476" t="s">
        <v>315</v>
      </c>
      <c r="D476" t="s">
        <v>18</v>
      </c>
      <c r="E476">
        <v>58</v>
      </c>
      <c r="F476" t="s">
        <v>51</v>
      </c>
      <c r="G476" t="s">
        <v>20</v>
      </c>
      <c r="H476" t="s">
        <v>81</v>
      </c>
      <c r="I476">
        <v>3</v>
      </c>
      <c r="J476">
        <v>2499</v>
      </c>
      <c r="K476">
        <v>7497</v>
      </c>
      <c r="L476">
        <v>20</v>
      </c>
      <c r="M476" t="s">
        <v>53</v>
      </c>
      <c r="N476" t="s">
        <v>23</v>
      </c>
      <c r="O476" t="s">
        <v>48</v>
      </c>
      <c r="P476" t="s">
        <v>86</v>
      </c>
    </row>
    <row r="477" spans="1:16" x14ac:dyDescent="0.25">
      <c r="A477" t="s">
        <v>667</v>
      </c>
      <c r="B477" s="2">
        <v>45700</v>
      </c>
      <c r="C477" t="s">
        <v>237</v>
      </c>
      <c r="D477" t="s">
        <v>18</v>
      </c>
      <c r="E477">
        <v>35</v>
      </c>
      <c r="F477" t="s">
        <v>43</v>
      </c>
      <c r="G477" t="s">
        <v>68</v>
      </c>
      <c r="H477" t="s">
        <v>73</v>
      </c>
      <c r="I477">
        <v>3</v>
      </c>
      <c r="J477">
        <v>999</v>
      </c>
      <c r="K477">
        <v>2997</v>
      </c>
      <c r="L477">
        <v>5</v>
      </c>
      <c r="M477" t="s">
        <v>85</v>
      </c>
      <c r="N477" t="s">
        <v>31</v>
      </c>
      <c r="O477" t="s">
        <v>39</v>
      </c>
      <c r="P477" t="s">
        <v>70</v>
      </c>
    </row>
    <row r="478" spans="1:16" x14ac:dyDescent="0.25">
      <c r="A478" t="s">
        <v>668</v>
      </c>
      <c r="B478" s="2">
        <v>45960</v>
      </c>
      <c r="C478" t="s">
        <v>274</v>
      </c>
      <c r="D478" t="s">
        <v>18</v>
      </c>
      <c r="E478">
        <v>60</v>
      </c>
      <c r="F478" t="s">
        <v>51</v>
      </c>
      <c r="G478" t="s">
        <v>20</v>
      </c>
      <c r="H478" t="s">
        <v>21</v>
      </c>
      <c r="I478">
        <v>5</v>
      </c>
      <c r="J478">
        <v>299</v>
      </c>
      <c r="K478">
        <v>1495</v>
      </c>
      <c r="L478">
        <v>10</v>
      </c>
      <c r="M478" t="s">
        <v>53</v>
      </c>
      <c r="N478" t="s">
        <v>31</v>
      </c>
      <c r="O478" t="s">
        <v>48</v>
      </c>
      <c r="P478" t="s">
        <v>89</v>
      </c>
    </row>
    <row r="479" spans="1:16" x14ac:dyDescent="0.25">
      <c r="A479" t="s">
        <v>669</v>
      </c>
      <c r="B479" s="2">
        <v>45833</v>
      </c>
      <c r="C479" t="s">
        <v>272</v>
      </c>
      <c r="D479" t="s">
        <v>18</v>
      </c>
      <c r="E479">
        <v>56</v>
      </c>
      <c r="F479" t="s">
        <v>124</v>
      </c>
      <c r="G479" t="s">
        <v>36</v>
      </c>
      <c r="H479" t="s">
        <v>102</v>
      </c>
      <c r="I479">
        <v>5</v>
      </c>
      <c r="J479">
        <v>199</v>
      </c>
      <c r="K479">
        <v>995</v>
      </c>
      <c r="L479">
        <v>15</v>
      </c>
      <c r="M479" t="s">
        <v>22</v>
      </c>
      <c r="N479" t="s">
        <v>61</v>
      </c>
      <c r="O479" t="s">
        <v>24</v>
      </c>
      <c r="P479" t="s">
        <v>62</v>
      </c>
    </row>
    <row r="480" spans="1:16" x14ac:dyDescent="0.25">
      <c r="A480" t="s">
        <v>670</v>
      </c>
      <c r="B480" s="2">
        <v>45834</v>
      </c>
      <c r="C480" t="s">
        <v>250</v>
      </c>
      <c r="D480" t="s">
        <v>35</v>
      </c>
      <c r="E480">
        <v>25</v>
      </c>
      <c r="F480" t="s">
        <v>98</v>
      </c>
      <c r="G480" t="s">
        <v>29</v>
      </c>
      <c r="H480" t="s">
        <v>30</v>
      </c>
      <c r="I480">
        <v>5</v>
      </c>
      <c r="J480">
        <v>2499</v>
      </c>
      <c r="K480">
        <v>12495</v>
      </c>
      <c r="L480">
        <v>5</v>
      </c>
      <c r="M480" t="s">
        <v>22</v>
      </c>
      <c r="N480" t="s">
        <v>61</v>
      </c>
      <c r="O480" t="s">
        <v>39</v>
      </c>
      <c r="P480" t="s">
        <v>86</v>
      </c>
    </row>
    <row r="481" spans="1:16" x14ac:dyDescent="0.25">
      <c r="A481" t="s">
        <v>671</v>
      </c>
      <c r="B481" s="2">
        <v>46007</v>
      </c>
      <c r="C481" t="s">
        <v>257</v>
      </c>
      <c r="D481" t="s">
        <v>35</v>
      </c>
      <c r="E481">
        <v>48</v>
      </c>
      <c r="F481" t="s">
        <v>43</v>
      </c>
      <c r="G481" t="s">
        <v>36</v>
      </c>
      <c r="H481" t="s">
        <v>133</v>
      </c>
      <c r="I481">
        <v>2</v>
      </c>
      <c r="J481">
        <v>799</v>
      </c>
      <c r="K481">
        <v>1598</v>
      </c>
      <c r="L481">
        <v>5</v>
      </c>
      <c r="M481" t="s">
        <v>85</v>
      </c>
      <c r="N481" t="s">
        <v>61</v>
      </c>
      <c r="O481" t="s">
        <v>24</v>
      </c>
      <c r="P481" t="s">
        <v>86</v>
      </c>
    </row>
    <row r="482" spans="1:16" x14ac:dyDescent="0.25">
      <c r="A482" t="s">
        <v>672</v>
      </c>
      <c r="B482" s="2">
        <v>46007</v>
      </c>
      <c r="C482" t="s">
        <v>192</v>
      </c>
      <c r="D482" t="s">
        <v>18</v>
      </c>
      <c r="E482">
        <v>52</v>
      </c>
      <c r="F482" t="s">
        <v>60</v>
      </c>
      <c r="G482" t="s">
        <v>36</v>
      </c>
      <c r="H482" t="s">
        <v>355</v>
      </c>
      <c r="I482">
        <v>3</v>
      </c>
      <c r="J482">
        <v>1299</v>
      </c>
      <c r="K482">
        <v>3897</v>
      </c>
      <c r="L482">
        <v>15</v>
      </c>
      <c r="M482" t="s">
        <v>85</v>
      </c>
      <c r="N482" t="s">
        <v>31</v>
      </c>
      <c r="O482" t="s">
        <v>39</v>
      </c>
      <c r="P482" t="s">
        <v>70</v>
      </c>
    </row>
    <row r="483" spans="1:16" x14ac:dyDescent="0.25">
      <c r="A483" t="s">
        <v>673</v>
      </c>
      <c r="B483" s="2">
        <v>45957</v>
      </c>
      <c r="C483" t="s">
        <v>388</v>
      </c>
      <c r="D483" t="s">
        <v>35</v>
      </c>
      <c r="E483">
        <v>33</v>
      </c>
      <c r="F483" t="s">
        <v>76</v>
      </c>
      <c r="G483" t="s">
        <v>44</v>
      </c>
      <c r="H483" t="s">
        <v>45</v>
      </c>
      <c r="I483">
        <v>3</v>
      </c>
      <c r="J483">
        <v>1999</v>
      </c>
      <c r="K483">
        <v>5997</v>
      </c>
      <c r="L483">
        <v>20</v>
      </c>
      <c r="M483" t="s">
        <v>46</v>
      </c>
      <c r="N483" t="s">
        <v>47</v>
      </c>
      <c r="O483" t="s">
        <v>39</v>
      </c>
      <c r="P483" t="s">
        <v>103</v>
      </c>
    </row>
    <row r="484" spans="1:16" x14ac:dyDescent="0.25">
      <c r="A484" t="s">
        <v>674</v>
      </c>
      <c r="B484" s="2">
        <v>45868</v>
      </c>
      <c r="C484" t="s">
        <v>50</v>
      </c>
      <c r="D484" t="s">
        <v>18</v>
      </c>
      <c r="E484">
        <v>46</v>
      </c>
      <c r="F484" t="s">
        <v>60</v>
      </c>
      <c r="G484" t="s">
        <v>20</v>
      </c>
      <c r="H484" t="s">
        <v>21</v>
      </c>
      <c r="I484">
        <v>1</v>
      </c>
      <c r="J484">
        <v>199</v>
      </c>
      <c r="K484">
        <v>199</v>
      </c>
      <c r="L484">
        <v>5</v>
      </c>
      <c r="M484" t="s">
        <v>46</v>
      </c>
      <c r="N484" t="s">
        <v>31</v>
      </c>
      <c r="O484" t="s">
        <v>24</v>
      </c>
      <c r="P484" t="s">
        <v>117</v>
      </c>
    </row>
    <row r="485" spans="1:16" x14ac:dyDescent="0.25">
      <c r="A485" t="s">
        <v>675</v>
      </c>
      <c r="B485" s="2">
        <v>45962</v>
      </c>
      <c r="C485" t="s">
        <v>188</v>
      </c>
      <c r="D485" t="s">
        <v>18</v>
      </c>
      <c r="E485">
        <v>56</v>
      </c>
      <c r="F485" t="s">
        <v>19</v>
      </c>
      <c r="G485" t="s">
        <v>20</v>
      </c>
      <c r="H485" t="s">
        <v>81</v>
      </c>
      <c r="I485">
        <v>1</v>
      </c>
      <c r="J485">
        <v>199</v>
      </c>
      <c r="K485">
        <v>199</v>
      </c>
      <c r="L485">
        <v>0</v>
      </c>
      <c r="M485" t="s">
        <v>38</v>
      </c>
      <c r="N485" t="s">
        <v>47</v>
      </c>
      <c r="O485" t="s">
        <v>39</v>
      </c>
      <c r="P485" t="s">
        <v>193</v>
      </c>
    </row>
    <row r="486" spans="1:16" x14ac:dyDescent="0.25">
      <c r="A486" t="s">
        <v>676</v>
      </c>
      <c r="B486" s="2">
        <v>45808</v>
      </c>
      <c r="C486" t="s">
        <v>677</v>
      </c>
      <c r="D486" t="s">
        <v>18</v>
      </c>
      <c r="E486">
        <v>58</v>
      </c>
      <c r="F486" t="s">
        <v>51</v>
      </c>
      <c r="G486" t="s">
        <v>29</v>
      </c>
      <c r="H486" t="s">
        <v>108</v>
      </c>
      <c r="I486">
        <v>2</v>
      </c>
      <c r="J486">
        <v>499</v>
      </c>
      <c r="K486">
        <v>998</v>
      </c>
      <c r="L486">
        <v>10</v>
      </c>
      <c r="M486" t="s">
        <v>22</v>
      </c>
      <c r="N486" t="s">
        <v>31</v>
      </c>
      <c r="O486" t="s">
        <v>39</v>
      </c>
      <c r="P486" t="s">
        <v>32</v>
      </c>
    </row>
    <row r="487" spans="1:16" x14ac:dyDescent="0.25">
      <c r="A487" t="s">
        <v>678</v>
      </c>
      <c r="B487" s="2">
        <v>45856</v>
      </c>
      <c r="C487" t="s">
        <v>119</v>
      </c>
      <c r="D487" t="s">
        <v>18</v>
      </c>
      <c r="E487">
        <v>34</v>
      </c>
      <c r="F487" t="s">
        <v>43</v>
      </c>
      <c r="G487" t="s">
        <v>20</v>
      </c>
      <c r="H487" t="s">
        <v>77</v>
      </c>
      <c r="I487">
        <v>1</v>
      </c>
      <c r="J487">
        <v>799</v>
      </c>
      <c r="K487">
        <v>799</v>
      </c>
      <c r="L487">
        <v>5</v>
      </c>
      <c r="M487" t="s">
        <v>22</v>
      </c>
      <c r="N487" t="s">
        <v>23</v>
      </c>
      <c r="O487" t="s">
        <v>39</v>
      </c>
      <c r="P487" t="s">
        <v>54</v>
      </c>
    </row>
    <row r="488" spans="1:16" x14ac:dyDescent="0.25">
      <c r="A488" t="s">
        <v>679</v>
      </c>
      <c r="B488" s="2">
        <v>45909</v>
      </c>
      <c r="C488" t="s">
        <v>75</v>
      </c>
      <c r="D488" t="s">
        <v>18</v>
      </c>
      <c r="E488">
        <v>52</v>
      </c>
      <c r="F488" t="s">
        <v>28</v>
      </c>
      <c r="G488" t="s">
        <v>68</v>
      </c>
      <c r="H488" t="s">
        <v>69</v>
      </c>
      <c r="I488">
        <v>2</v>
      </c>
      <c r="J488">
        <v>1999</v>
      </c>
      <c r="K488">
        <v>3998</v>
      </c>
      <c r="L488">
        <v>5</v>
      </c>
      <c r="M488" t="s">
        <v>85</v>
      </c>
      <c r="N488" t="s">
        <v>23</v>
      </c>
      <c r="O488" t="s">
        <v>39</v>
      </c>
      <c r="P488" t="s">
        <v>70</v>
      </c>
    </row>
    <row r="489" spans="1:16" x14ac:dyDescent="0.25">
      <c r="A489" t="s">
        <v>680</v>
      </c>
      <c r="B489" s="2">
        <v>45950</v>
      </c>
      <c r="C489" t="s">
        <v>495</v>
      </c>
      <c r="D489" t="s">
        <v>35</v>
      </c>
      <c r="E489">
        <v>46</v>
      </c>
      <c r="F489" t="s">
        <v>98</v>
      </c>
      <c r="G489" t="s">
        <v>20</v>
      </c>
      <c r="H489" t="s">
        <v>21</v>
      </c>
      <c r="I489">
        <v>1</v>
      </c>
      <c r="J489">
        <v>249</v>
      </c>
      <c r="K489">
        <v>249</v>
      </c>
      <c r="L489">
        <v>15</v>
      </c>
      <c r="M489" t="s">
        <v>53</v>
      </c>
      <c r="N489" t="s">
        <v>23</v>
      </c>
      <c r="O489" t="s">
        <v>24</v>
      </c>
      <c r="P489" t="s">
        <v>157</v>
      </c>
    </row>
    <row r="490" spans="1:16" x14ac:dyDescent="0.25">
      <c r="A490" t="s">
        <v>681</v>
      </c>
      <c r="B490" s="2">
        <v>45952</v>
      </c>
      <c r="C490" t="s">
        <v>432</v>
      </c>
      <c r="D490" t="s">
        <v>35</v>
      </c>
      <c r="E490">
        <v>48</v>
      </c>
      <c r="F490" t="s">
        <v>28</v>
      </c>
      <c r="G490" t="s">
        <v>44</v>
      </c>
      <c r="H490" t="s">
        <v>235</v>
      </c>
      <c r="I490">
        <v>3</v>
      </c>
      <c r="J490">
        <v>799</v>
      </c>
      <c r="K490">
        <v>2397</v>
      </c>
      <c r="L490">
        <v>15</v>
      </c>
      <c r="M490" t="s">
        <v>38</v>
      </c>
      <c r="N490" t="s">
        <v>47</v>
      </c>
      <c r="O490" t="s">
        <v>24</v>
      </c>
      <c r="P490" t="s">
        <v>157</v>
      </c>
    </row>
    <row r="491" spans="1:16" x14ac:dyDescent="0.25">
      <c r="A491" t="s">
        <v>682</v>
      </c>
      <c r="B491" s="2">
        <v>45841</v>
      </c>
      <c r="C491" t="s">
        <v>119</v>
      </c>
      <c r="D491" t="s">
        <v>35</v>
      </c>
      <c r="E491">
        <v>43</v>
      </c>
      <c r="F491" t="s">
        <v>98</v>
      </c>
      <c r="G491" t="s">
        <v>36</v>
      </c>
      <c r="H491" t="s">
        <v>156</v>
      </c>
      <c r="I491">
        <v>5</v>
      </c>
      <c r="J491">
        <v>1299</v>
      </c>
      <c r="K491">
        <v>6495</v>
      </c>
      <c r="L491">
        <v>0</v>
      </c>
      <c r="M491" t="s">
        <v>46</v>
      </c>
      <c r="N491" t="s">
        <v>31</v>
      </c>
      <c r="O491" t="s">
        <v>24</v>
      </c>
      <c r="P491" t="s">
        <v>62</v>
      </c>
    </row>
    <row r="492" spans="1:16" x14ac:dyDescent="0.25">
      <c r="A492" t="s">
        <v>683</v>
      </c>
      <c r="B492" s="2">
        <v>45678</v>
      </c>
      <c r="C492" t="s">
        <v>283</v>
      </c>
      <c r="D492" t="s">
        <v>18</v>
      </c>
      <c r="E492">
        <v>37</v>
      </c>
      <c r="F492" t="s">
        <v>28</v>
      </c>
      <c r="G492" t="s">
        <v>44</v>
      </c>
      <c r="H492" t="s">
        <v>235</v>
      </c>
      <c r="I492">
        <v>2</v>
      </c>
      <c r="J492">
        <v>1299</v>
      </c>
      <c r="K492">
        <v>2598</v>
      </c>
      <c r="L492">
        <v>0</v>
      </c>
      <c r="M492" t="s">
        <v>46</v>
      </c>
      <c r="N492" t="s">
        <v>61</v>
      </c>
      <c r="O492" t="s">
        <v>24</v>
      </c>
      <c r="P492" t="s">
        <v>62</v>
      </c>
    </row>
    <row r="493" spans="1:16" x14ac:dyDescent="0.25">
      <c r="A493" t="s">
        <v>684</v>
      </c>
      <c r="B493" s="2">
        <v>45670</v>
      </c>
      <c r="C493" t="s">
        <v>147</v>
      </c>
      <c r="D493" t="s">
        <v>18</v>
      </c>
      <c r="E493">
        <v>49</v>
      </c>
      <c r="F493" t="s">
        <v>28</v>
      </c>
      <c r="G493" t="s">
        <v>29</v>
      </c>
      <c r="H493" t="s">
        <v>30</v>
      </c>
      <c r="I493">
        <v>1</v>
      </c>
      <c r="J493">
        <v>399</v>
      </c>
      <c r="K493">
        <v>399</v>
      </c>
      <c r="L493">
        <v>0</v>
      </c>
      <c r="M493" t="s">
        <v>85</v>
      </c>
      <c r="N493" t="s">
        <v>31</v>
      </c>
      <c r="O493" t="s">
        <v>39</v>
      </c>
      <c r="P493" t="s">
        <v>103</v>
      </c>
    </row>
    <row r="494" spans="1:16" x14ac:dyDescent="0.25">
      <c r="A494" t="s">
        <v>685</v>
      </c>
      <c r="B494" s="2">
        <v>45686</v>
      </c>
      <c r="C494" t="s">
        <v>213</v>
      </c>
      <c r="D494" t="s">
        <v>18</v>
      </c>
      <c r="E494">
        <v>43</v>
      </c>
      <c r="F494" t="s">
        <v>19</v>
      </c>
      <c r="G494" t="s">
        <v>36</v>
      </c>
      <c r="H494" t="s">
        <v>156</v>
      </c>
      <c r="I494">
        <v>1</v>
      </c>
      <c r="J494">
        <v>599</v>
      </c>
      <c r="K494">
        <v>599</v>
      </c>
      <c r="L494">
        <v>5</v>
      </c>
      <c r="M494" t="s">
        <v>85</v>
      </c>
      <c r="N494" t="s">
        <v>61</v>
      </c>
      <c r="O494" t="s">
        <v>48</v>
      </c>
      <c r="P494" t="s">
        <v>103</v>
      </c>
    </row>
    <row r="495" spans="1:16" x14ac:dyDescent="0.25">
      <c r="A495" t="s">
        <v>686</v>
      </c>
      <c r="B495" s="2">
        <v>45676</v>
      </c>
      <c r="C495" t="s">
        <v>274</v>
      </c>
      <c r="D495" t="s">
        <v>18</v>
      </c>
      <c r="E495">
        <v>49</v>
      </c>
      <c r="F495" t="s">
        <v>98</v>
      </c>
      <c r="G495" t="s">
        <v>29</v>
      </c>
      <c r="H495" t="s">
        <v>200</v>
      </c>
      <c r="I495">
        <v>2</v>
      </c>
      <c r="J495">
        <v>249</v>
      </c>
      <c r="K495">
        <v>498</v>
      </c>
      <c r="L495">
        <v>15</v>
      </c>
      <c r="M495" t="s">
        <v>85</v>
      </c>
      <c r="N495" t="s">
        <v>23</v>
      </c>
      <c r="O495" t="s">
        <v>24</v>
      </c>
      <c r="P495" t="s">
        <v>65</v>
      </c>
    </row>
    <row r="496" spans="1:16" x14ac:dyDescent="0.25">
      <c r="A496" t="s">
        <v>687</v>
      </c>
      <c r="B496" s="2">
        <v>45707</v>
      </c>
      <c r="C496" t="s">
        <v>112</v>
      </c>
      <c r="D496" t="s">
        <v>18</v>
      </c>
      <c r="E496">
        <v>55</v>
      </c>
      <c r="F496" t="s">
        <v>19</v>
      </c>
      <c r="G496" t="s">
        <v>20</v>
      </c>
      <c r="H496" t="s">
        <v>52</v>
      </c>
      <c r="I496">
        <v>1</v>
      </c>
      <c r="J496">
        <v>499</v>
      </c>
      <c r="K496">
        <v>499</v>
      </c>
      <c r="L496">
        <v>0</v>
      </c>
      <c r="M496" t="s">
        <v>38</v>
      </c>
      <c r="N496" t="s">
        <v>61</v>
      </c>
      <c r="O496" t="s">
        <v>48</v>
      </c>
      <c r="P496" t="s">
        <v>40</v>
      </c>
    </row>
    <row r="497" spans="1:16" x14ac:dyDescent="0.25">
      <c r="A497" t="s">
        <v>688</v>
      </c>
      <c r="B497" s="2">
        <v>45830</v>
      </c>
      <c r="C497" t="s">
        <v>274</v>
      </c>
      <c r="D497" t="s">
        <v>35</v>
      </c>
      <c r="E497">
        <v>38</v>
      </c>
      <c r="F497" t="s">
        <v>19</v>
      </c>
      <c r="G497" t="s">
        <v>29</v>
      </c>
      <c r="H497" t="s">
        <v>108</v>
      </c>
      <c r="I497">
        <v>2</v>
      </c>
      <c r="J497">
        <v>799</v>
      </c>
      <c r="K497">
        <v>1598</v>
      </c>
      <c r="L497">
        <v>20</v>
      </c>
      <c r="M497" t="s">
        <v>85</v>
      </c>
      <c r="N497" t="s">
        <v>47</v>
      </c>
      <c r="O497" t="s">
        <v>39</v>
      </c>
      <c r="P497" t="s">
        <v>54</v>
      </c>
    </row>
    <row r="498" spans="1:16" x14ac:dyDescent="0.25">
      <c r="A498" t="s">
        <v>689</v>
      </c>
      <c r="B498" s="2">
        <v>45690</v>
      </c>
      <c r="C498" t="s">
        <v>88</v>
      </c>
      <c r="D498" t="s">
        <v>35</v>
      </c>
      <c r="E498">
        <v>27</v>
      </c>
      <c r="F498" t="s">
        <v>28</v>
      </c>
      <c r="G498" t="s">
        <v>20</v>
      </c>
      <c r="H498" t="s">
        <v>81</v>
      </c>
      <c r="I498">
        <v>2</v>
      </c>
      <c r="J498">
        <v>599</v>
      </c>
      <c r="K498">
        <v>1198</v>
      </c>
      <c r="L498">
        <v>5</v>
      </c>
      <c r="M498" t="s">
        <v>46</v>
      </c>
      <c r="N498" t="s">
        <v>47</v>
      </c>
      <c r="O498" t="s">
        <v>39</v>
      </c>
      <c r="P498" t="s">
        <v>89</v>
      </c>
    </row>
    <row r="499" spans="1:16" x14ac:dyDescent="0.25">
      <c r="A499" t="s">
        <v>690</v>
      </c>
      <c r="B499" s="2">
        <v>45981</v>
      </c>
      <c r="C499" t="s">
        <v>239</v>
      </c>
      <c r="D499" t="s">
        <v>35</v>
      </c>
      <c r="E499">
        <v>28</v>
      </c>
      <c r="F499" t="s">
        <v>98</v>
      </c>
      <c r="G499" t="s">
        <v>68</v>
      </c>
      <c r="H499" t="s">
        <v>73</v>
      </c>
      <c r="I499">
        <v>2</v>
      </c>
      <c r="J499">
        <v>249</v>
      </c>
      <c r="K499">
        <v>498</v>
      </c>
      <c r="L499">
        <v>15</v>
      </c>
      <c r="M499" t="s">
        <v>38</v>
      </c>
      <c r="N499" t="s">
        <v>23</v>
      </c>
      <c r="O499" t="s">
        <v>24</v>
      </c>
      <c r="P499" t="s">
        <v>32</v>
      </c>
    </row>
    <row r="500" spans="1:16" x14ac:dyDescent="0.25">
      <c r="A500" t="s">
        <v>691</v>
      </c>
      <c r="B500" s="2">
        <v>46013</v>
      </c>
      <c r="C500" t="s">
        <v>155</v>
      </c>
      <c r="D500" t="s">
        <v>35</v>
      </c>
      <c r="E500">
        <v>26</v>
      </c>
      <c r="F500" t="s">
        <v>76</v>
      </c>
      <c r="G500" t="s">
        <v>20</v>
      </c>
      <c r="H500" t="s">
        <v>81</v>
      </c>
      <c r="I500">
        <v>3</v>
      </c>
      <c r="J500">
        <v>799</v>
      </c>
      <c r="K500">
        <v>2397</v>
      </c>
      <c r="L500">
        <v>5</v>
      </c>
      <c r="M500" t="s">
        <v>46</v>
      </c>
      <c r="N500" t="s">
        <v>61</v>
      </c>
      <c r="O500" t="s">
        <v>39</v>
      </c>
      <c r="P500" t="s">
        <v>89</v>
      </c>
    </row>
    <row r="501" spans="1:16" x14ac:dyDescent="0.25">
      <c r="A501" t="s">
        <v>692</v>
      </c>
      <c r="B501" s="2">
        <v>45750</v>
      </c>
      <c r="C501" t="s">
        <v>299</v>
      </c>
      <c r="D501" t="s">
        <v>35</v>
      </c>
      <c r="E501">
        <v>57</v>
      </c>
      <c r="F501" t="s">
        <v>19</v>
      </c>
      <c r="G501" t="s">
        <v>29</v>
      </c>
      <c r="H501" t="s">
        <v>200</v>
      </c>
      <c r="I501">
        <v>1</v>
      </c>
      <c r="J501">
        <v>1499</v>
      </c>
      <c r="K501">
        <v>1499</v>
      </c>
      <c r="L501">
        <v>10</v>
      </c>
      <c r="M501" t="s">
        <v>46</v>
      </c>
      <c r="N501" t="s">
        <v>61</v>
      </c>
      <c r="O501" t="s">
        <v>24</v>
      </c>
      <c r="P501" t="s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opLeftCell="A4" workbookViewId="0">
      <selection activeCell="E2" sqref="E2"/>
    </sheetView>
  </sheetViews>
  <sheetFormatPr defaultRowHeight="15" x14ac:dyDescent="0.25"/>
  <cols>
    <col min="1" max="1" width="11.85546875" bestFit="1" customWidth="1"/>
    <col min="2" max="2" width="15.42578125" bestFit="1" customWidth="1"/>
    <col min="3" max="3" width="13.5703125" bestFit="1" customWidth="1"/>
    <col min="4" max="4" width="18.140625" bestFit="1" customWidth="1"/>
    <col min="5" max="5" width="14.140625" bestFit="1" customWidth="1"/>
  </cols>
  <sheetData>
    <row r="1" spans="1:5" x14ac:dyDescent="0.25">
      <c r="A1" s="1" t="s">
        <v>2</v>
      </c>
      <c r="B1" s="1" t="s">
        <v>15</v>
      </c>
      <c r="C1" s="1" t="s">
        <v>693</v>
      </c>
      <c r="D1" s="1" t="s">
        <v>694</v>
      </c>
      <c r="E1" s="1" t="s">
        <v>695</v>
      </c>
    </row>
    <row r="2" spans="1:5" x14ac:dyDescent="0.25">
      <c r="A2" t="s">
        <v>432</v>
      </c>
      <c r="B2" t="s">
        <v>89</v>
      </c>
      <c r="C2" t="s">
        <v>76</v>
      </c>
      <c r="D2" t="s">
        <v>696</v>
      </c>
      <c r="E2" t="s">
        <v>697</v>
      </c>
    </row>
    <row r="3" spans="1:5" x14ac:dyDescent="0.25">
      <c r="A3" t="s">
        <v>372</v>
      </c>
      <c r="B3" t="s">
        <v>40</v>
      </c>
      <c r="C3" t="s">
        <v>60</v>
      </c>
      <c r="D3" t="s">
        <v>698</v>
      </c>
      <c r="E3" t="s">
        <v>699</v>
      </c>
    </row>
    <row r="4" spans="1:5" x14ac:dyDescent="0.25">
      <c r="A4" t="s">
        <v>366</v>
      </c>
      <c r="B4" t="s">
        <v>54</v>
      </c>
      <c r="C4" t="s">
        <v>43</v>
      </c>
      <c r="D4" t="s">
        <v>696</v>
      </c>
      <c r="E4" t="s">
        <v>697</v>
      </c>
    </row>
    <row r="5" spans="1:5" x14ac:dyDescent="0.25">
      <c r="A5" t="s">
        <v>161</v>
      </c>
      <c r="B5" t="s">
        <v>203</v>
      </c>
      <c r="C5" t="s">
        <v>124</v>
      </c>
      <c r="D5" t="s">
        <v>700</v>
      </c>
      <c r="E5" t="s">
        <v>699</v>
      </c>
    </row>
    <row r="6" spans="1:5" x14ac:dyDescent="0.25">
      <c r="A6" t="s">
        <v>91</v>
      </c>
      <c r="B6" t="s">
        <v>32</v>
      </c>
      <c r="C6" t="s">
        <v>124</v>
      </c>
      <c r="D6" t="s">
        <v>696</v>
      </c>
      <c r="E6" t="s">
        <v>697</v>
      </c>
    </row>
    <row r="7" spans="1:5" x14ac:dyDescent="0.25">
      <c r="A7" t="s">
        <v>192</v>
      </c>
      <c r="B7" t="s">
        <v>125</v>
      </c>
      <c r="C7" t="s">
        <v>43</v>
      </c>
      <c r="D7" t="s">
        <v>698</v>
      </c>
      <c r="E7" t="s">
        <v>699</v>
      </c>
    </row>
    <row r="8" spans="1:5" x14ac:dyDescent="0.25">
      <c r="A8" t="s">
        <v>250</v>
      </c>
      <c r="B8" t="s">
        <v>70</v>
      </c>
      <c r="C8" t="s">
        <v>60</v>
      </c>
      <c r="D8" t="s">
        <v>700</v>
      </c>
      <c r="E8" t="s">
        <v>697</v>
      </c>
    </row>
    <row r="9" spans="1:5" x14ac:dyDescent="0.25">
      <c r="A9" t="s">
        <v>105</v>
      </c>
      <c r="B9" t="s">
        <v>203</v>
      </c>
      <c r="C9" t="s">
        <v>98</v>
      </c>
      <c r="D9" t="s">
        <v>698</v>
      </c>
      <c r="E9" t="s">
        <v>697</v>
      </c>
    </row>
    <row r="10" spans="1:5" x14ac:dyDescent="0.25">
      <c r="A10" t="s">
        <v>107</v>
      </c>
      <c r="B10" t="s">
        <v>121</v>
      </c>
      <c r="C10" t="s">
        <v>51</v>
      </c>
      <c r="D10" t="s">
        <v>696</v>
      </c>
      <c r="E10" t="s">
        <v>697</v>
      </c>
    </row>
    <row r="11" spans="1:5" x14ac:dyDescent="0.25">
      <c r="A11" t="s">
        <v>226</v>
      </c>
      <c r="B11" t="s">
        <v>89</v>
      </c>
      <c r="C11" t="s">
        <v>51</v>
      </c>
      <c r="D11" t="s">
        <v>701</v>
      </c>
      <c r="E11" t="s">
        <v>699</v>
      </c>
    </row>
    <row r="12" spans="1:5" x14ac:dyDescent="0.25">
      <c r="A12" t="s">
        <v>272</v>
      </c>
      <c r="B12" t="s">
        <v>54</v>
      </c>
      <c r="C12" t="s">
        <v>60</v>
      </c>
      <c r="D12" t="s">
        <v>698</v>
      </c>
      <c r="E12" t="s">
        <v>697</v>
      </c>
    </row>
    <row r="13" spans="1:5" x14ac:dyDescent="0.25">
      <c r="A13" t="s">
        <v>313</v>
      </c>
      <c r="B13" t="s">
        <v>57</v>
      </c>
      <c r="C13" t="s">
        <v>76</v>
      </c>
      <c r="D13" t="s">
        <v>696</v>
      </c>
      <c r="E13" t="s">
        <v>697</v>
      </c>
    </row>
    <row r="14" spans="1:5" x14ac:dyDescent="0.25">
      <c r="A14" t="s">
        <v>50</v>
      </c>
      <c r="B14" t="s">
        <v>134</v>
      </c>
      <c r="C14" t="s">
        <v>76</v>
      </c>
      <c r="D14" t="s">
        <v>700</v>
      </c>
      <c r="E14" t="s">
        <v>697</v>
      </c>
    </row>
    <row r="15" spans="1:5" x14ac:dyDescent="0.25">
      <c r="A15" t="s">
        <v>75</v>
      </c>
      <c r="B15" t="s">
        <v>25</v>
      </c>
      <c r="C15" t="s">
        <v>51</v>
      </c>
      <c r="D15" t="s">
        <v>700</v>
      </c>
      <c r="E15" t="s">
        <v>697</v>
      </c>
    </row>
    <row r="16" spans="1:5" x14ac:dyDescent="0.25">
      <c r="A16" t="s">
        <v>80</v>
      </c>
      <c r="B16" t="s">
        <v>134</v>
      </c>
      <c r="C16" t="s">
        <v>124</v>
      </c>
      <c r="D16" t="s">
        <v>698</v>
      </c>
      <c r="E16" t="s">
        <v>699</v>
      </c>
    </row>
    <row r="17" spans="1:5" x14ac:dyDescent="0.25">
      <c r="A17" t="s">
        <v>88</v>
      </c>
      <c r="B17" t="s">
        <v>32</v>
      </c>
      <c r="C17" t="s">
        <v>28</v>
      </c>
      <c r="D17" t="s">
        <v>701</v>
      </c>
      <c r="E17" t="s">
        <v>697</v>
      </c>
    </row>
    <row r="18" spans="1:5" x14ac:dyDescent="0.25">
      <c r="A18" t="s">
        <v>237</v>
      </c>
      <c r="B18" t="s">
        <v>62</v>
      </c>
      <c r="C18" t="s">
        <v>76</v>
      </c>
      <c r="D18" t="s">
        <v>701</v>
      </c>
      <c r="E18" t="s">
        <v>699</v>
      </c>
    </row>
    <row r="19" spans="1:5" x14ac:dyDescent="0.25">
      <c r="A19" t="s">
        <v>17</v>
      </c>
      <c r="B19" t="s">
        <v>54</v>
      </c>
      <c r="C19" t="s">
        <v>60</v>
      </c>
      <c r="D19" t="s">
        <v>698</v>
      </c>
      <c r="E19" t="s">
        <v>697</v>
      </c>
    </row>
    <row r="20" spans="1:5" x14ac:dyDescent="0.25">
      <c r="A20" t="s">
        <v>319</v>
      </c>
      <c r="B20" t="s">
        <v>193</v>
      </c>
      <c r="C20" t="s">
        <v>98</v>
      </c>
      <c r="D20" t="s">
        <v>701</v>
      </c>
      <c r="E20" t="s">
        <v>697</v>
      </c>
    </row>
    <row r="21" spans="1:5" x14ac:dyDescent="0.25">
      <c r="A21" t="s">
        <v>67</v>
      </c>
      <c r="B21" t="s">
        <v>203</v>
      </c>
      <c r="C21" t="s">
        <v>51</v>
      </c>
      <c r="D21" t="s">
        <v>700</v>
      </c>
      <c r="E21" t="s">
        <v>699</v>
      </c>
    </row>
    <row r="22" spans="1:5" x14ac:dyDescent="0.25">
      <c r="A22" t="s">
        <v>218</v>
      </c>
      <c r="B22" t="s">
        <v>32</v>
      </c>
      <c r="C22" t="s">
        <v>60</v>
      </c>
      <c r="D22" t="s">
        <v>698</v>
      </c>
      <c r="E22" t="s">
        <v>699</v>
      </c>
    </row>
    <row r="23" spans="1:5" x14ac:dyDescent="0.25">
      <c r="A23" t="s">
        <v>414</v>
      </c>
      <c r="B23" t="s">
        <v>40</v>
      </c>
      <c r="C23" t="s">
        <v>124</v>
      </c>
      <c r="D23" t="s">
        <v>698</v>
      </c>
      <c r="E23" t="s">
        <v>697</v>
      </c>
    </row>
    <row r="24" spans="1:5" x14ac:dyDescent="0.25">
      <c r="A24" t="s">
        <v>224</v>
      </c>
      <c r="B24" t="s">
        <v>25</v>
      </c>
      <c r="C24" t="s">
        <v>28</v>
      </c>
      <c r="D24" t="s">
        <v>700</v>
      </c>
      <c r="E24" t="s">
        <v>697</v>
      </c>
    </row>
    <row r="25" spans="1:5" x14ac:dyDescent="0.25">
      <c r="A25" t="s">
        <v>452</v>
      </c>
      <c r="B25" t="s">
        <v>193</v>
      </c>
      <c r="C25" t="s">
        <v>51</v>
      </c>
      <c r="D25" t="s">
        <v>700</v>
      </c>
      <c r="E25" t="s">
        <v>699</v>
      </c>
    </row>
    <row r="26" spans="1:5" x14ac:dyDescent="0.25">
      <c r="A26" t="s">
        <v>266</v>
      </c>
      <c r="B26" t="s">
        <v>121</v>
      </c>
      <c r="C26" t="s">
        <v>28</v>
      </c>
      <c r="D26" t="s">
        <v>698</v>
      </c>
      <c r="E26" t="s">
        <v>697</v>
      </c>
    </row>
    <row r="27" spans="1:5" x14ac:dyDescent="0.25">
      <c r="A27" t="s">
        <v>280</v>
      </c>
      <c r="B27" t="s">
        <v>57</v>
      </c>
      <c r="C27" t="s">
        <v>28</v>
      </c>
      <c r="D27" t="s">
        <v>698</v>
      </c>
      <c r="E27" t="s">
        <v>697</v>
      </c>
    </row>
    <row r="28" spans="1:5" x14ac:dyDescent="0.25">
      <c r="A28" t="s">
        <v>353</v>
      </c>
      <c r="B28" t="s">
        <v>193</v>
      </c>
      <c r="C28" t="s">
        <v>98</v>
      </c>
      <c r="D28" t="s">
        <v>700</v>
      </c>
      <c r="E28" t="s">
        <v>697</v>
      </c>
    </row>
    <row r="29" spans="1:5" x14ac:dyDescent="0.25">
      <c r="A29" t="s">
        <v>253</v>
      </c>
      <c r="B29" t="s">
        <v>117</v>
      </c>
      <c r="C29" t="s">
        <v>51</v>
      </c>
      <c r="D29" t="s">
        <v>696</v>
      </c>
      <c r="E29" t="s">
        <v>699</v>
      </c>
    </row>
    <row r="30" spans="1:5" x14ac:dyDescent="0.25">
      <c r="A30" t="s">
        <v>276</v>
      </c>
      <c r="B30" t="s">
        <v>78</v>
      </c>
      <c r="C30" t="s">
        <v>28</v>
      </c>
      <c r="D30" t="s">
        <v>700</v>
      </c>
      <c r="E30" t="s">
        <v>697</v>
      </c>
    </row>
    <row r="31" spans="1:5" x14ac:dyDescent="0.25">
      <c r="A31" t="s">
        <v>255</v>
      </c>
      <c r="B31" t="s">
        <v>62</v>
      </c>
      <c r="C31" t="s">
        <v>51</v>
      </c>
      <c r="D31" t="s">
        <v>698</v>
      </c>
      <c r="E31" t="s">
        <v>697</v>
      </c>
    </row>
    <row r="32" spans="1:5" x14ac:dyDescent="0.25">
      <c r="A32" t="s">
        <v>202</v>
      </c>
      <c r="B32" t="s">
        <v>103</v>
      </c>
      <c r="C32" t="s">
        <v>98</v>
      </c>
      <c r="D32" t="s">
        <v>700</v>
      </c>
      <c r="E32" t="s">
        <v>697</v>
      </c>
    </row>
    <row r="33" spans="1:5" x14ac:dyDescent="0.25">
      <c r="A33" t="s">
        <v>259</v>
      </c>
      <c r="B33" t="s">
        <v>65</v>
      </c>
      <c r="C33" t="s">
        <v>60</v>
      </c>
      <c r="D33" t="s">
        <v>701</v>
      </c>
      <c r="E33" t="s">
        <v>697</v>
      </c>
    </row>
    <row r="34" spans="1:5" x14ac:dyDescent="0.25">
      <c r="A34" t="s">
        <v>197</v>
      </c>
      <c r="B34" t="s">
        <v>25</v>
      </c>
      <c r="C34" t="s">
        <v>98</v>
      </c>
      <c r="D34" t="s">
        <v>700</v>
      </c>
      <c r="E34" t="s">
        <v>699</v>
      </c>
    </row>
    <row r="35" spans="1:5" x14ac:dyDescent="0.25">
      <c r="A35" t="s">
        <v>315</v>
      </c>
      <c r="B35" t="s">
        <v>32</v>
      </c>
      <c r="C35" t="s">
        <v>51</v>
      </c>
      <c r="D35" t="s">
        <v>696</v>
      </c>
      <c r="E35" t="s">
        <v>699</v>
      </c>
    </row>
    <row r="36" spans="1:5" x14ac:dyDescent="0.25">
      <c r="A36" t="s">
        <v>59</v>
      </c>
      <c r="B36" t="s">
        <v>62</v>
      </c>
      <c r="C36" t="s">
        <v>124</v>
      </c>
      <c r="D36" t="s">
        <v>700</v>
      </c>
      <c r="E36" t="s">
        <v>697</v>
      </c>
    </row>
    <row r="37" spans="1:5" x14ac:dyDescent="0.25">
      <c r="A37" t="s">
        <v>150</v>
      </c>
      <c r="B37" t="s">
        <v>125</v>
      </c>
      <c r="C37" t="s">
        <v>51</v>
      </c>
      <c r="D37" t="s">
        <v>696</v>
      </c>
      <c r="E37" t="s">
        <v>697</v>
      </c>
    </row>
    <row r="38" spans="1:5" x14ac:dyDescent="0.25">
      <c r="A38" t="s">
        <v>116</v>
      </c>
      <c r="B38" t="s">
        <v>157</v>
      </c>
      <c r="C38" t="s">
        <v>60</v>
      </c>
      <c r="D38" t="s">
        <v>696</v>
      </c>
      <c r="E38" t="s">
        <v>699</v>
      </c>
    </row>
    <row r="39" spans="1:5" x14ac:dyDescent="0.25">
      <c r="A39" t="s">
        <v>180</v>
      </c>
      <c r="B39" t="s">
        <v>134</v>
      </c>
      <c r="C39" t="s">
        <v>43</v>
      </c>
      <c r="D39" t="s">
        <v>698</v>
      </c>
      <c r="E39" t="s">
        <v>697</v>
      </c>
    </row>
    <row r="40" spans="1:5" x14ac:dyDescent="0.25">
      <c r="A40" t="s">
        <v>360</v>
      </c>
      <c r="B40" t="s">
        <v>40</v>
      </c>
      <c r="C40" t="s">
        <v>60</v>
      </c>
      <c r="D40" t="s">
        <v>696</v>
      </c>
      <c r="E40" t="s">
        <v>699</v>
      </c>
    </row>
    <row r="41" spans="1:5" x14ac:dyDescent="0.25">
      <c r="A41" t="s">
        <v>294</v>
      </c>
      <c r="B41" t="s">
        <v>117</v>
      </c>
      <c r="C41" t="s">
        <v>19</v>
      </c>
      <c r="D41" t="s">
        <v>700</v>
      </c>
      <c r="E41" t="s">
        <v>699</v>
      </c>
    </row>
    <row r="42" spans="1:5" x14ac:dyDescent="0.25">
      <c r="A42" t="s">
        <v>304</v>
      </c>
      <c r="B42" t="s">
        <v>62</v>
      </c>
      <c r="C42" t="s">
        <v>98</v>
      </c>
      <c r="D42" t="s">
        <v>701</v>
      </c>
      <c r="E42" t="s">
        <v>699</v>
      </c>
    </row>
    <row r="43" spans="1:5" x14ac:dyDescent="0.25">
      <c r="A43" t="s">
        <v>139</v>
      </c>
      <c r="B43" t="s">
        <v>32</v>
      </c>
      <c r="C43" t="s">
        <v>19</v>
      </c>
      <c r="D43" t="s">
        <v>698</v>
      </c>
      <c r="E43" t="s">
        <v>697</v>
      </c>
    </row>
    <row r="44" spans="1:5" x14ac:dyDescent="0.25">
      <c r="A44" t="s">
        <v>119</v>
      </c>
      <c r="B44" t="s">
        <v>57</v>
      </c>
      <c r="C44" t="s">
        <v>76</v>
      </c>
      <c r="D44" t="s">
        <v>696</v>
      </c>
      <c r="E44" t="s">
        <v>699</v>
      </c>
    </row>
    <row r="45" spans="1:5" x14ac:dyDescent="0.25">
      <c r="A45" t="s">
        <v>213</v>
      </c>
      <c r="B45" t="s">
        <v>193</v>
      </c>
      <c r="C45" t="s">
        <v>76</v>
      </c>
      <c r="D45" t="s">
        <v>698</v>
      </c>
      <c r="E45" t="s">
        <v>699</v>
      </c>
    </row>
    <row r="46" spans="1:5" x14ac:dyDescent="0.25">
      <c r="A46" t="s">
        <v>350</v>
      </c>
      <c r="B46" t="s">
        <v>125</v>
      </c>
      <c r="C46" t="s">
        <v>43</v>
      </c>
      <c r="D46" t="s">
        <v>700</v>
      </c>
      <c r="E46" t="s">
        <v>699</v>
      </c>
    </row>
    <row r="47" spans="1:5" x14ac:dyDescent="0.25">
      <c r="A47" t="s">
        <v>173</v>
      </c>
      <c r="B47" t="s">
        <v>117</v>
      </c>
      <c r="C47" t="s">
        <v>19</v>
      </c>
      <c r="D47" t="s">
        <v>701</v>
      </c>
      <c r="E47" t="s">
        <v>699</v>
      </c>
    </row>
    <row r="48" spans="1:5" x14ac:dyDescent="0.25">
      <c r="A48" t="s">
        <v>342</v>
      </c>
      <c r="B48" t="s">
        <v>62</v>
      </c>
      <c r="C48" t="s">
        <v>51</v>
      </c>
      <c r="D48" t="s">
        <v>696</v>
      </c>
      <c r="E48" t="s">
        <v>699</v>
      </c>
    </row>
    <row r="49" spans="1:5" x14ac:dyDescent="0.25">
      <c r="A49" t="s">
        <v>123</v>
      </c>
      <c r="B49" t="s">
        <v>103</v>
      </c>
      <c r="C49" t="s">
        <v>43</v>
      </c>
      <c r="D49" t="s">
        <v>700</v>
      </c>
      <c r="E49" t="s">
        <v>699</v>
      </c>
    </row>
    <row r="50" spans="1:5" x14ac:dyDescent="0.25">
      <c r="A50" t="s">
        <v>42</v>
      </c>
      <c r="B50" t="s">
        <v>25</v>
      </c>
      <c r="C50" t="s">
        <v>76</v>
      </c>
      <c r="D50" t="s">
        <v>700</v>
      </c>
      <c r="E50" t="s">
        <v>697</v>
      </c>
    </row>
    <row r="51" spans="1:5" x14ac:dyDescent="0.25">
      <c r="A51" t="s">
        <v>283</v>
      </c>
      <c r="B51" t="s">
        <v>25</v>
      </c>
      <c r="C51" t="s">
        <v>28</v>
      </c>
      <c r="D51" t="s">
        <v>698</v>
      </c>
      <c r="E51" t="s">
        <v>699</v>
      </c>
    </row>
    <row r="52" spans="1:5" x14ac:dyDescent="0.25">
      <c r="A52" t="s">
        <v>388</v>
      </c>
      <c r="B52" t="s">
        <v>25</v>
      </c>
      <c r="C52" t="s">
        <v>19</v>
      </c>
      <c r="D52" t="s">
        <v>698</v>
      </c>
      <c r="E52" t="s">
        <v>699</v>
      </c>
    </row>
    <row r="53" spans="1:5" x14ac:dyDescent="0.25">
      <c r="A53" t="s">
        <v>129</v>
      </c>
      <c r="B53" t="s">
        <v>203</v>
      </c>
      <c r="C53" t="s">
        <v>124</v>
      </c>
      <c r="D53" t="s">
        <v>700</v>
      </c>
      <c r="E53" t="s">
        <v>697</v>
      </c>
    </row>
    <row r="54" spans="1:5" x14ac:dyDescent="0.25">
      <c r="A54" t="s">
        <v>93</v>
      </c>
      <c r="B54" t="s">
        <v>54</v>
      </c>
      <c r="C54" t="s">
        <v>98</v>
      </c>
      <c r="D54" t="s">
        <v>701</v>
      </c>
      <c r="E54" t="s">
        <v>699</v>
      </c>
    </row>
    <row r="55" spans="1:5" x14ac:dyDescent="0.25">
      <c r="A55" t="s">
        <v>243</v>
      </c>
      <c r="B55" t="s">
        <v>103</v>
      </c>
      <c r="C55" t="s">
        <v>124</v>
      </c>
      <c r="D55" t="s">
        <v>700</v>
      </c>
      <c r="E55" t="s">
        <v>699</v>
      </c>
    </row>
    <row r="56" spans="1:5" x14ac:dyDescent="0.25">
      <c r="A56" t="s">
        <v>606</v>
      </c>
      <c r="B56" t="s">
        <v>134</v>
      </c>
      <c r="C56" t="s">
        <v>51</v>
      </c>
      <c r="D56" t="s">
        <v>696</v>
      </c>
      <c r="E56" t="s">
        <v>699</v>
      </c>
    </row>
    <row r="57" spans="1:5" x14ac:dyDescent="0.25">
      <c r="A57" t="s">
        <v>296</v>
      </c>
      <c r="B57" t="s">
        <v>54</v>
      </c>
      <c r="C57" t="s">
        <v>19</v>
      </c>
      <c r="D57" t="s">
        <v>696</v>
      </c>
      <c r="E57" t="s">
        <v>697</v>
      </c>
    </row>
    <row r="58" spans="1:5" x14ac:dyDescent="0.25">
      <c r="A58" t="s">
        <v>329</v>
      </c>
      <c r="B58" t="s">
        <v>78</v>
      </c>
      <c r="C58" t="s">
        <v>60</v>
      </c>
      <c r="D58" t="s">
        <v>700</v>
      </c>
      <c r="E58" t="s">
        <v>699</v>
      </c>
    </row>
    <row r="59" spans="1:5" x14ac:dyDescent="0.25">
      <c r="A59" t="s">
        <v>186</v>
      </c>
      <c r="B59" t="s">
        <v>57</v>
      </c>
      <c r="C59" t="s">
        <v>51</v>
      </c>
      <c r="D59" t="s">
        <v>700</v>
      </c>
      <c r="E59" t="s">
        <v>699</v>
      </c>
    </row>
    <row r="60" spans="1:5" x14ac:dyDescent="0.25">
      <c r="A60" t="s">
        <v>112</v>
      </c>
      <c r="B60" t="s">
        <v>86</v>
      </c>
      <c r="C60" t="s">
        <v>124</v>
      </c>
      <c r="D60" t="s">
        <v>701</v>
      </c>
      <c r="E60" t="s">
        <v>697</v>
      </c>
    </row>
    <row r="61" spans="1:5" x14ac:dyDescent="0.25">
      <c r="A61" t="s">
        <v>677</v>
      </c>
      <c r="B61" t="s">
        <v>70</v>
      </c>
      <c r="C61" t="s">
        <v>76</v>
      </c>
      <c r="D61" t="s">
        <v>700</v>
      </c>
      <c r="E61" t="s">
        <v>699</v>
      </c>
    </row>
    <row r="62" spans="1:5" x14ac:dyDescent="0.25">
      <c r="A62" t="s">
        <v>84</v>
      </c>
      <c r="B62" t="s">
        <v>86</v>
      </c>
      <c r="C62" t="s">
        <v>98</v>
      </c>
      <c r="D62" t="s">
        <v>698</v>
      </c>
      <c r="E62" t="s">
        <v>699</v>
      </c>
    </row>
    <row r="63" spans="1:5" x14ac:dyDescent="0.25">
      <c r="A63" t="s">
        <v>182</v>
      </c>
      <c r="B63" t="s">
        <v>86</v>
      </c>
      <c r="C63" t="s">
        <v>51</v>
      </c>
      <c r="D63" t="s">
        <v>698</v>
      </c>
      <c r="E63" t="s">
        <v>697</v>
      </c>
    </row>
    <row r="64" spans="1:5" x14ac:dyDescent="0.25">
      <c r="A64" t="s">
        <v>159</v>
      </c>
      <c r="B64" t="s">
        <v>103</v>
      </c>
      <c r="C64" t="s">
        <v>43</v>
      </c>
      <c r="D64" t="s">
        <v>698</v>
      </c>
      <c r="E64" t="s">
        <v>697</v>
      </c>
    </row>
    <row r="65" spans="1:5" x14ac:dyDescent="0.25">
      <c r="A65" t="s">
        <v>288</v>
      </c>
      <c r="B65" t="s">
        <v>65</v>
      </c>
      <c r="C65" t="s">
        <v>124</v>
      </c>
      <c r="D65" t="s">
        <v>698</v>
      </c>
      <c r="E65" t="s">
        <v>697</v>
      </c>
    </row>
    <row r="66" spans="1:5" x14ac:dyDescent="0.25">
      <c r="A66" t="s">
        <v>370</v>
      </c>
      <c r="B66" t="s">
        <v>117</v>
      </c>
      <c r="C66" t="s">
        <v>60</v>
      </c>
      <c r="D66" t="s">
        <v>698</v>
      </c>
      <c r="E66" t="s">
        <v>699</v>
      </c>
    </row>
    <row r="67" spans="1:5" x14ac:dyDescent="0.25">
      <c r="A67" t="s">
        <v>205</v>
      </c>
      <c r="B67" t="s">
        <v>70</v>
      </c>
      <c r="C67" t="s">
        <v>60</v>
      </c>
      <c r="D67" t="s">
        <v>698</v>
      </c>
      <c r="E67" t="s">
        <v>697</v>
      </c>
    </row>
    <row r="68" spans="1:5" x14ac:dyDescent="0.25">
      <c r="A68" t="s">
        <v>357</v>
      </c>
      <c r="B68" t="s">
        <v>103</v>
      </c>
      <c r="C68" t="s">
        <v>98</v>
      </c>
      <c r="D68" t="s">
        <v>701</v>
      </c>
      <c r="E68" t="s">
        <v>699</v>
      </c>
    </row>
    <row r="69" spans="1:5" x14ac:dyDescent="0.25">
      <c r="A69" t="s">
        <v>286</v>
      </c>
      <c r="B69" t="s">
        <v>65</v>
      </c>
      <c r="C69" t="s">
        <v>60</v>
      </c>
      <c r="D69" t="s">
        <v>700</v>
      </c>
      <c r="E69" t="s">
        <v>697</v>
      </c>
    </row>
    <row r="70" spans="1:5" x14ac:dyDescent="0.25">
      <c r="A70" t="s">
        <v>56</v>
      </c>
      <c r="B70" t="s">
        <v>103</v>
      </c>
      <c r="C70" t="s">
        <v>43</v>
      </c>
      <c r="D70" t="s">
        <v>696</v>
      </c>
      <c r="E70" t="s">
        <v>697</v>
      </c>
    </row>
    <row r="71" spans="1:5" x14ac:dyDescent="0.25">
      <c r="A71" t="s">
        <v>114</v>
      </c>
      <c r="B71" t="s">
        <v>157</v>
      </c>
      <c r="C71" t="s">
        <v>51</v>
      </c>
      <c r="D71" t="s">
        <v>698</v>
      </c>
      <c r="E71" t="s">
        <v>699</v>
      </c>
    </row>
    <row r="72" spans="1:5" x14ac:dyDescent="0.25">
      <c r="A72" t="s">
        <v>97</v>
      </c>
      <c r="B72" t="s">
        <v>57</v>
      </c>
      <c r="C72" t="s">
        <v>124</v>
      </c>
      <c r="D72" t="s">
        <v>696</v>
      </c>
      <c r="E72" t="s">
        <v>699</v>
      </c>
    </row>
    <row r="73" spans="1:5" x14ac:dyDescent="0.25">
      <c r="A73" t="s">
        <v>27</v>
      </c>
      <c r="B73" t="s">
        <v>86</v>
      </c>
      <c r="C73" t="s">
        <v>51</v>
      </c>
      <c r="D73" t="s">
        <v>701</v>
      </c>
      <c r="E73" t="s">
        <v>697</v>
      </c>
    </row>
    <row r="74" spans="1:5" x14ac:dyDescent="0.25">
      <c r="A74" t="s">
        <v>302</v>
      </c>
      <c r="B74" t="s">
        <v>193</v>
      </c>
      <c r="C74" t="s">
        <v>51</v>
      </c>
      <c r="D74" t="s">
        <v>701</v>
      </c>
      <c r="E74" t="s">
        <v>697</v>
      </c>
    </row>
    <row r="75" spans="1:5" x14ac:dyDescent="0.25">
      <c r="A75" t="s">
        <v>132</v>
      </c>
      <c r="B75" t="s">
        <v>82</v>
      </c>
      <c r="C75" t="s">
        <v>98</v>
      </c>
      <c r="D75" t="s">
        <v>698</v>
      </c>
      <c r="E75" t="s">
        <v>697</v>
      </c>
    </row>
    <row r="76" spans="1:5" x14ac:dyDescent="0.25">
      <c r="A76" t="s">
        <v>110</v>
      </c>
      <c r="B76" t="s">
        <v>86</v>
      </c>
      <c r="C76" t="s">
        <v>98</v>
      </c>
      <c r="D76" t="s">
        <v>700</v>
      </c>
      <c r="E76" t="s">
        <v>697</v>
      </c>
    </row>
    <row r="77" spans="1:5" x14ac:dyDescent="0.25">
      <c r="A77" t="s">
        <v>310</v>
      </c>
      <c r="B77" t="s">
        <v>62</v>
      </c>
      <c r="C77" t="s">
        <v>60</v>
      </c>
      <c r="D77" t="s">
        <v>696</v>
      </c>
      <c r="E77" t="s">
        <v>699</v>
      </c>
    </row>
    <row r="78" spans="1:5" x14ac:dyDescent="0.25">
      <c r="A78" t="s">
        <v>270</v>
      </c>
      <c r="B78" t="s">
        <v>117</v>
      </c>
      <c r="C78" t="s">
        <v>76</v>
      </c>
      <c r="D78" t="s">
        <v>698</v>
      </c>
      <c r="E78" t="s">
        <v>699</v>
      </c>
    </row>
    <row r="79" spans="1:5" x14ac:dyDescent="0.25">
      <c r="A79" t="s">
        <v>221</v>
      </c>
      <c r="B79" t="s">
        <v>54</v>
      </c>
      <c r="C79" t="s">
        <v>98</v>
      </c>
      <c r="D79" t="s">
        <v>696</v>
      </c>
      <c r="E79" t="s">
        <v>699</v>
      </c>
    </row>
    <row r="80" spans="1:5" x14ac:dyDescent="0.25">
      <c r="A80" t="s">
        <v>239</v>
      </c>
      <c r="B80" t="s">
        <v>25</v>
      </c>
      <c r="C80" t="s">
        <v>28</v>
      </c>
      <c r="D80" t="s">
        <v>698</v>
      </c>
      <c r="E80" t="s">
        <v>699</v>
      </c>
    </row>
    <row r="81" spans="1:5" x14ac:dyDescent="0.25">
      <c r="A81" t="s">
        <v>142</v>
      </c>
      <c r="B81" t="s">
        <v>57</v>
      </c>
      <c r="C81" t="s">
        <v>98</v>
      </c>
      <c r="D81" t="s">
        <v>701</v>
      </c>
      <c r="E81" t="s">
        <v>699</v>
      </c>
    </row>
    <row r="82" spans="1:5" x14ac:dyDescent="0.25">
      <c r="A82" t="s">
        <v>199</v>
      </c>
      <c r="B82" t="s">
        <v>65</v>
      </c>
      <c r="C82" t="s">
        <v>28</v>
      </c>
      <c r="D82" t="s">
        <v>701</v>
      </c>
      <c r="E82" t="s">
        <v>699</v>
      </c>
    </row>
    <row r="83" spans="1:5" x14ac:dyDescent="0.25">
      <c r="A83" t="s">
        <v>261</v>
      </c>
      <c r="B83" t="s">
        <v>125</v>
      </c>
      <c r="C83" t="s">
        <v>98</v>
      </c>
      <c r="D83" t="s">
        <v>701</v>
      </c>
      <c r="E83" t="s">
        <v>699</v>
      </c>
    </row>
    <row r="84" spans="1:5" x14ac:dyDescent="0.25">
      <c r="A84" t="s">
        <v>229</v>
      </c>
      <c r="B84" t="s">
        <v>125</v>
      </c>
      <c r="C84" t="s">
        <v>43</v>
      </c>
      <c r="D84" t="s">
        <v>700</v>
      </c>
      <c r="E84" t="s">
        <v>697</v>
      </c>
    </row>
    <row r="85" spans="1:5" x14ac:dyDescent="0.25">
      <c r="A85" t="s">
        <v>164</v>
      </c>
      <c r="B85" t="s">
        <v>54</v>
      </c>
      <c r="C85" t="s">
        <v>51</v>
      </c>
      <c r="D85" t="s">
        <v>700</v>
      </c>
      <c r="E85" t="s">
        <v>699</v>
      </c>
    </row>
    <row r="86" spans="1:5" x14ac:dyDescent="0.25">
      <c r="A86" t="s">
        <v>188</v>
      </c>
      <c r="B86" t="s">
        <v>86</v>
      </c>
      <c r="C86" t="s">
        <v>124</v>
      </c>
      <c r="D86" t="s">
        <v>700</v>
      </c>
      <c r="E86" t="s">
        <v>699</v>
      </c>
    </row>
    <row r="87" spans="1:5" x14ac:dyDescent="0.25">
      <c r="A87" t="s">
        <v>290</v>
      </c>
      <c r="B87" t="s">
        <v>65</v>
      </c>
      <c r="C87" t="s">
        <v>19</v>
      </c>
      <c r="D87" t="s">
        <v>698</v>
      </c>
      <c r="E87" t="s">
        <v>697</v>
      </c>
    </row>
    <row r="88" spans="1:5" x14ac:dyDescent="0.25">
      <c r="A88" t="s">
        <v>167</v>
      </c>
      <c r="B88" t="s">
        <v>86</v>
      </c>
      <c r="C88" t="s">
        <v>51</v>
      </c>
      <c r="D88" t="s">
        <v>701</v>
      </c>
      <c r="E88" t="s">
        <v>697</v>
      </c>
    </row>
    <row r="89" spans="1:5" x14ac:dyDescent="0.25">
      <c r="A89" t="s">
        <v>377</v>
      </c>
      <c r="B89" t="s">
        <v>193</v>
      </c>
      <c r="C89" t="s">
        <v>28</v>
      </c>
      <c r="D89" t="s">
        <v>696</v>
      </c>
      <c r="E89" t="s">
        <v>697</v>
      </c>
    </row>
    <row r="90" spans="1:5" x14ac:dyDescent="0.25">
      <c r="A90" t="s">
        <v>153</v>
      </c>
      <c r="B90" t="s">
        <v>134</v>
      </c>
      <c r="C90" t="s">
        <v>43</v>
      </c>
      <c r="D90" t="s">
        <v>700</v>
      </c>
      <c r="E90" t="s">
        <v>697</v>
      </c>
    </row>
    <row r="91" spans="1:5" x14ac:dyDescent="0.25">
      <c r="A91" t="s">
        <v>145</v>
      </c>
      <c r="B91" t="s">
        <v>103</v>
      </c>
      <c r="C91" t="s">
        <v>51</v>
      </c>
      <c r="D91" t="s">
        <v>698</v>
      </c>
      <c r="E91" t="s">
        <v>697</v>
      </c>
    </row>
    <row r="92" spans="1:5" x14ac:dyDescent="0.25">
      <c r="A92" t="s">
        <v>257</v>
      </c>
      <c r="B92" t="s">
        <v>32</v>
      </c>
      <c r="C92" t="s">
        <v>28</v>
      </c>
      <c r="D92" t="s">
        <v>701</v>
      </c>
      <c r="E92" t="s">
        <v>699</v>
      </c>
    </row>
    <row r="93" spans="1:5" x14ac:dyDescent="0.25">
      <c r="A93" t="s">
        <v>299</v>
      </c>
      <c r="B93" t="s">
        <v>117</v>
      </c>
      <c r="C93" t="s">
        <v>43</v>
      </c>
      <c r="D93" t="s">
        <v>701</v>
      </c>
      <c r="E93" t="s">
        <v>699</v>
      </c>
    </row>
    <row r="94" spans="1:5" x14ac:dyDescent="0.25">
      <c r="A94" t="s">
        <v>147</v>
      </c>
      <c r="B94" t="s">
        <v>103</v>
      </c>
      <c r="C94" t="s">
        <v>51</v>
      </c>
      <c r="D94" t="s">
        <v>698</v>
      </c>
      <c r="E94" t="s">
        <v>697</v>
      </c>
    </row>
    <row r="95" spans="1:5" x14ac:dyDescent="0.25">
      <c r="A95" t="s">
        <v>495</v>
      </c>
      <c r="B95" t="s">
        <v>121</v>
      </c>
      <c r="C95" t="s">
        <v>124</v>
      </c>
      <c r="D95" t="s">
        <v>701</v>
      </c>
      <c r="E95" t="s">
        <v>699</v>
      </c>
    </row>
    <row r="96" spans="1:5" x14ac:dyDescent="0.25">
      <c r="A96" t="s">
        <v>274</v>
      </c>
      <c r="B96" t="s">
        <v>82</v>
      </c>
      <c r="C96" t="s">
        <v>19</v>
      </c>
      <c r="D96" t="s">
        <v>701</v>
      </c>
      <c r="E96" t="s">
        <v>699</v>
      </c>
    </row>
    <row r="97" spans="1:5" x14ac:dyDescent="0.25">
      <c r="A97" t="s">
        <v>190</v>
      </c>
      <c r="B97" t="s">
        <v>32</v>
      </c>
      <c r="C97" t="s">
        <v>51</v>
      </c>
      <c r="D97" t="s">
        <v>698</v>
      </c>
      <c r="E97" t="s">
        <v>697</v>
      </c>
    </row>
    <row r="98" spans="1:5" x14ac:dyDescent="0.25">
      <c r="A98" t="s">
        <v>72</v>
      </c>
      <c r="B98" t="s">
        <v>203</v>
      </c>
      <c r="C98" t="s">
        <v>43</v>
      </c>
      <c r="D98" t="s">
        <v>700</v>
      </c>
      <c r="E98" t="s">
        <v>697</v>
      </c>
    </row>
    <row r="99" spans="1:5" x14ac:dyDescent="0.25">
      <c r="A99" t="s">
        <v>34</v>
      </c>
      <c r="B99" t="s">
        <v>40</v>
      </c>
      <c r="C99" t="s">
        <v>60</v>
      </c>
      <c r="D99" t="s">
        <v>700</v>
      </c>
      <c r="E99" t="s">
        <v>699</v>
      </c>
    </row>
    <row r="100" spans="1:5" x14ac:dyDescent="0.25">
      <c r="A100" t="s">
        <v>155</v>
      </c>
      <c r="B100" t="s">
        <v>70</v>
      </c>
      <c r="C100" t="s">
        <v>51</v>
      </c>
      <c r="D100" t="s">
        <v>696</v>
      </c>
      <c r="E100" t="s">
        <v>699</v>
      </c>
    </row>
    <row r="101" spans="1:5" x14ac:dyDescent="0.25">
      <c r="A101" t="s">
        <v>209</v>
      </c>
      <c r="B101" t="s">
        <v>78</v>
      </c>
      <c r="C101" t="s">
        <v>98</v>
      </c>
      <c r="D101" t="s">
        <v>701</v>
      </c>
      <c r="E101" t="s">
        <v>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A15" sqref="A15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3.85546875" bestFit="1" customWidth="1"/>
    <col min="4" max="4" width="10.28515625" bestFit="1" customWidth="1"/>
  </cols>
  <sheetData>
    <row r="1" spans="1:4" x14ac:dyDescent="0.25">
      <c r="A1" s="1" t="s">
        <v>7</v>
      </c>
      <c r="B1" s="1" t="s">
        <v>702</v>
      </c>
      <c r="C1" s="1" t="s">
        <v>703</v>
      </c>
      <c r="D1" s="1" t="s">
        <v>704</v>
      </c>
    </row>
    <row r="2" spans="1:4" x14ac:dyDescent="0.25">
      <c r="A2" t="s">
        <v>21</v>
      </c>
      <c r="B2" t="s">
        <v>20</v>
      </c>
      <c r="C2">
        <v>1499</v>
      </c>
      <c r="D2" t="s">
        <v>705</v>
      </c>
    </row>
    <row r="3" spans="1:4" x14ac:dyDescent="0.25">
      <c r="A3" t="s">
        <v>52</v>
      </c>
      <c r="B3" t="s">
        <v>20</v>
      </c>
      <c r="C3">
        <v>299</v>
      </c>
      <c r="D3" t="s">
        <v>706</v>
      </c>
    </row>
    <row r="4" spans="1:4" x14ac:dyDescent="0.25">
      <c r="A4" t="s">
        <v>77</v>
      </c>
      <c r="B4" t="s">
        <v>20</v>
      </c>
      <c r="C4">
        <v>999</v>
      </c>
      <c r="D4" t="s">
        <v>707</v>
      </c>
    </row>
    <row r="5" spans="1:4" x14ac:dyDescent="0.25">
      <c r="A5" t="s">
        <v>120</v>
      </c>
      <c r="B5" t="s">
        <v>20</v>
      </c>
      <c r="C5">
        <v>299</v>
      </c>
      <c r="D5" t="s">
        <v>706</v>
      </c>
    </row>
    <row r="6" spans="1:4" x14ac:dyDescent="0.25">
      <c r="A6" t="s">
        <v>81</v>
      </c>
      <c r="B6" t="s">
        <v>20</v>
      </c>
      <c r="C6">
        <v>299</v>
      </c>
      <c r="D6" t="s">
        <v>705</v>
      </c>
    </row>
    <row r="7" spans="1:4" x14ac:dyDescent="0.25">
      <c r="A7" t="s">
        <v>108</v>
      </c>
      <c r="B7" t="s">
        <v>29</v>
      </c>
      <c r="C7">
        <v>499</v>
      </c>
      <c r="D7" t="s">
        <v>706</v>
      </c>
    </row>
    <row r="8" spans="1:4" x14ac:dyDescent="0.25">
      <c r="A8" t="s">
        <v>30</v>
      </c>
      <c r="B8" t="s">
        <v>29</v>
      </c>
      <c r="C8">
        <v>799</v>
      </c>
      <c r="D8" t="s">
        <v>707</v>
      </c>
    </row>
    <row r="9" spans="1:4" x14ac:dyDescent="0.25">
      <c r="A9" t="s">
        <v>64</v>
      </c>
      <c r="B9" t="s">
        <v>29</v>
      </c>
      <c r="C9">
        <v>599</v>
      </c>
      <c r="D9" t="s">
        <v>705</v>
      </c>
    </row>
    <row r="10" spans="1:4" x14ac:dyDescent="0.25">
      <c r="A10" t="s">
        <v>140</v>
      </c>
      <c r="B10" t="s">
        <v>29</v>
      </c>
      <c r="C10">
        <v>499</v>
      </c>
      <c r="D10" t="s">
        <v>706</v>
      </c>
    </row>
    <row r="11" spans="1:4" x14ac:dyDescent="0.25">
      <c r="A11" t="s">
        <v>200</v>
      </c>
      <c r="B11" t="s">
        <v>29</v>
      </c>
      <c r="C11">
        <v>1299</v>
      </c>
      <c r="D11" t="s">
        <v>707</v>
      </c>
    </row>
    <row r="12" spans="1:4" x14ac:dyDescent="0.25">
      <c r="A12" t="s">
        <v>45</v>
      </c>
      <c r="B12" t="s">
        <v>44</v>
      </c>
      <c r="C12">
        <v>249</v>
      </c>
      <c r="D12" t="s">
        <v>707</v>
      </c>
    </row>
    <row r="13" spans="1:4" x14ac:dyDescent="0.25">
      <c r="A13" t="s">
        <v>235</v>
      </c>
      <c r="B13" t="s">
        <v>44</v>
      </c>
      <c r="C13">
        <v>399</v>
      </c>
      <c r="D13" t="s">
        <v>707</v>
      </c>
    </row>
    <row r="14" spans="1:4" x14ac:dyDescent="0.25">
      <c r="A14" t="s">
        <v>177</v>
      </c>
      <c r="B14" t="s">
        <v>44</v>
      </c>
      <c r="C14">
        <v>299</v>
      </c>
      <c r="D14" t="s">
        <v>705</v>
      </c>
    </row>
    <row r="15" spans="1:4" x14ac:dyDescent="0.25">
      <c r="A15" t="s">
        <v>99</v>
      </c>
      <c r="B15" t="s">
        <v>44</v>
      </c>
      <c r="C15">
        <v>1499</v>
      </c>
      <c r="D15" t="s">
        <v>705</v>
      </c>
    </row>
    <row r="16" spans="1:4" x14ac:dyDescent="0.25">
      <c r="A16" t="s">
        <v>151</v>
      </c>
      <c r="B16" t="s">
        <v>44</v>
      </c>
      <c r="C16">
        <v>1299</v>
      </c>
      <c r="D16" t="s">
        <v>706</v>
      </c>
    </row>
    <row r="17" spans="1:4" x14ac:dyDescent="0.25">
      <c r="A17" t="s">
        <v>156</v>
      </c>
      <c r="B17" t="s">
        <v>36</v>
      </c>
      <c r="C17">
        <v>599</v>
      </c>
      <c r="D17" t="s">
        <v>707</v>
      </c>
    </row>
    <row r="18" spans="1:4" x14ac:dyDescent="0.25">
      <c r="A18" t="s">
        <v>102</v>
      </c>
      <c r="B18" t="s">
        <v>36</v>
      </c>
      <c r="C18">
        <v>499</v>
      </c>
      <c r="D18" t="s">
        <v>706</v>
      </c>
    </row>
    <row r="19" spans="1:4" x14ac:dyDescent="0.25">
      <c r="A19" t="s">
        <v>37</v>
      </c>
      <c r="B19" t="s">
        <v>36</v>
      </c>
      <c r="C19">
        <v>1999</v>
      </c>
      <c r="D19" t="s">
        <v>707</v>
      </c>
    </row>
    <row r="20" spans="1:4" x14ac:dyDescent="0.25">
      <c r="A20" t="s">
        <v>355</v>
      </c>
      <c r="B20" t="s">
        <v>36</v>
      </c>
      <c r="C20">
        <v>2499</v>
      </c>
      <c r="D20" t="s">
        <v>706</v>
      </c>
    </row>
    <row r="21" spans="1:4" x14ac:dyDescent="0.25">
      <c r="A21" t="s">
        <v>133</v>
      </c>
      <c r="B21" t="s">
        <v>36</v>
      </c>
      <c r="C21">
        <v>249</v>
      </c>
      <c r="D21" t="s">
        <v>707</v>
      </c>
    </row>
    <row r="22" spans="1:4" x14ac:dyDescent="0.25">
      <c r="A22" t="s">
        <v>73</v>
      </c>
      <c r="B22" t="s">
        <v>68</v>
      </c>
      <c r="C22">
        <v>1499</v>
      </c>
      <c r="D22" t="s">
        <v>706</v>
      </c>
    </row>
    <row r="23" spans="1:4" x14ac:dyDescent="0.25">
      <c r="A23" t="s">
        <v>137</v>
      </c>
      <c r="B23" t="s">
        <v>68</v>
      </c>
      <c r="C23">
        <v>299</v>
      </c>
      <c r="D23" t="s">
        <v>705</v>
      </c>
    </row>
    <row r="24" spans="1:4" x14ac:dyDescent="0.25">
      <c r="A24" t="s">
        <v>171</v>
      </c>
      <c r="B24" t="s">
        <v>68</v>
      </c>
      <c r="C24">
        <v>299</v>
      </c>
      <c r="D24" t="s">
        <v>707</v>
      </c>
    </row>
    <row r="25" spans="1:4" x14ac:dyDescent="0.25">
      <c r="A25" t="s">
        <v>69</v>
      </c>
      <c r="B25" t="s">
        <v>68</v>
      </c>
      <c r="C25">
        <v>499</v>
      </c>
      <c r="D25" t="s">
        <v>706</v>
      </c>
    </row>
    <row r="26" spans="1:4" x14ac:dyDescent="0.25">
      <c r="A26" t="s">
        <v>94</v>
      </c>
      <c r="B26" t="s">
        <v>68</v>
      </c>
      <c r="C26">
        <v>999</v>
      </c>
      <c r="D26" t="s">
        <v>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DE1C-3DFB-4164-955C-B64A98B36C26}">
  <dimension ref="A1:P501"/>
  <sheetViews>
    <sheetView topLeftCell="A16" zoomScale="90" zoomScaleNormal="90" workbookViewId="0">
      <selection activeCell="B19" sqref="B19"/>
    </sheetView>
  </sheetViews>
  <sheetFormatPr defaultRowHeight="15" x14ac:dyDescent="0.25"/>
  <cols>
    <col min="1" max="1" width="10.5703125" customWidth="1"/>
    <col min="2" max="2" width="13" style="3" customWidth="1"/>
    <col min="3" max="3" width="14" customWidth="1"/>
    <col min="4" max="4" width="9.7109375" customWidth="1"/>
    <col min="5" max="5" width="6.5703125" customWidth="1"/>
    <col min="6" max="6" width="12.7109375" bestFit="1" customWidth="1"/>
    <col min="7" max="7" width="18.28515625" customWidth="1"/>
    <col min="8" max="8" width="15.28515625" bestFit="1" customWidth="1"/>
    <col min="9" max="9" width="10.85546875" customWidth="1"/>
    <col min="10" max="11" width="15.140625" customWidth="1"/>
    <col min="12" max="12" width="12.5703125" customWidth="1"/>
    <col min="13" max="13" width="18.42578125" customWidth="1"/>
    <col min="14" max="14" width="14.28515625" customWidth="1"/>
    <col min="15" max="15" width="14.85546875" customWidth="1"/>
    <col min="16" max="16" width="17.42578125" customWidth="1"/>
  </cols>
  <sheetData>
    <row r="1" spans="1:16" x14ac:dyDescent="0.25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 x14ac:dyDescent="0.25">
      <c r="A2" t="s">
        <v>16</v>
      </c>
      <c r="B2" s="3">
        <v>45772</v>
      </c>
      <c r="C2" t="s">
        <v>17</v>
      </c>
      <c r="D2" t="s">
        <v>18</v>
      </c>
      <c r="E2">
        <v>52</v>
      </c>
      <c r="F2" t="s">
        <v>19</v>
      </c>
      <c r="G2" t="s">
        <v>20</v>
      </c>
      <c r="H2" t="s">
        <v>21</v>
      </c>
      <c r="I2">
        <v>3</v>
      </c>
      <c r="J2">
        <v>399</v>
      </c>
      <c r="K2">
        <v>1197</v>
      </c>
      <c r="L2">
        <v>20</v>
      </c>
      <c r="M2" t="s">
        <v>22</v>
      </c>
      <c r="N2" t="s">
        <v>23</v>
      </c>
      <c r="O2" t="s">
        <v>24</v>
      </c>
      <c r="P2" t="s">
        <v>25</v>
      </c>
    </row>
    <row r="3" spans="1:16" x14ac:dyDescent="0.25">
      <c r="A3" t="s">
        <v>26</v>
      </c>
      <c r="B3" s="3">
        <v>45671</v>
      </c>
      <c r="C3" t="s">
        <v>27</v>
      </c>
      <c r="D3" t="s">
        <v>18</v>
      </c>
      <c r="E3">
        <v>59</v>
      </c>
      <c r="F3" t="s">
        <v>28</v>
      </c>
      <c r="G3" t="s">
        <v>29</v>
      </c>
      <c r="H3" t="s">
        <v>30</v>
      </c>
      <c r="I3">
        <v>5</v>
      </c>
      <c r="J3">
        <v>1499</v>
      </c>
      <c r="K3">
        <v>7495</v>
      </c>
      <c r="L3">
        <v>5</v>
      </c>
      <c r="M3" t="s">
        <v>22</v>
      </c>
      <c r="N3" t="s">
        <v>31</v>
      </c>
      <c r="O3" t="s">
        <v>24</v>
      </c>
      <c r="P3" t="s">
        <v>32</v>
      </c>
    </row>
    <row r="4" spans="1:16" x14ac:dyDescent="0.25">
      <c r="A4" t="s">
        <v>33</v>
      </c>
      <c r="B4" s="3">
        <v>45768</v>
      </c>
      <c r="C4" t="s">
        <v>34</v>
      </c>
      <c r="D4" t="s">
        <v>35</v>
      </c>
      <c r="E4">
        <v>24</v>
      </c>
      <c r="F4" t="s">
        <v>19</v>
      </c>
      <c r="G4" t="s">
        <v>36</v>
      </c>
      <c r="H4" t="s">
        <v>37</v>
      </c>
      <c r="I4">
        <v>3</v>
      </c>
      <c r="J4">
        <v>299</v>
      </c>
      <c r="K4">
        <v>897</v>
      </c>
      <c r="L4">
        <v>15</v>
      </c>
      <c r="M4" t="s">
        <v>38</v>
      </c>
      <c r="N4" t="s">
        <v>31</v>
      </c>
      <c r="O4" t="s">
        <v>39</v>
      </c>
      <c r="P4" t="s">
        <v>40</v>
      </c>
    </row>
    <row r="5" spans="1:16" x14ac:dyDescent="0.25">
      <c r="A5" t="s">
        <v>41</v>
      </c>
      <c r="B5" s="3">
        <v>45721</v>
      </c>
      <c r="C5" t="s">
        <v>42</v>
      </c>
      <c r="D5" t="s">
        <v>18</v>
      </c>
      <c r="E5">
        <v>53</v>
      </c>
      <c r="F5" t="s">
        <v>43</v>
      </c>
      <c r="G5" t="s">
        <v>44</v>
      </c>
      <c r="H5" t="s">
        <v>45</v>
      </c>
      <c r="I5">
        <v>4</v>
      </c>
      <c r="J5">
        <v>1299</v>
      </c>
      <c r="K5">
        <v>5196</v>
      </c>
      <c r="L5">
        <v>20</v>
      </c>
      <c r="M5" t="s">
        <v>46</v>
      </c>
      <c r="N5" t="s">
        <v>47</v>
      </c>
      <c r="O5" t="s">
        <v>48</v>
      </c>
      <c r="P5" t="s">
        <v>25</v>
      </c>
    </row>
    <row r="6" spans="1:16" x14ac:dyDescent="0.25">
      <c r="A6" t="s">
        <v>49</v>
      </c>
      <c r="B6" s="3">
        <v>45777</v>
      </c>
      <c r="C6" t="s">
        <v>50</v>
      </c>
      <c r="D6" t="s">
        <v>35</v>
      </c>
      <c r="E6">
        <v>35</v>
      </c>
      <c r="F6" t="s">
        <v>51</v>
      </c>
      <c r="G6" t="s">
        <v>20</v>
      </c>
      <c r="H6" t="s">
        <v>52</v>
      </c>
      <c r="I6">
        <v>3</v>
      </c>
      <c r="J6">
        <v>249</v>
      </c>
      <c r="K6">
        <v>747</v>
      </c>
      <c r="L6">
        <v>10</v>
      </c>
      <c r="M6" t="s">
        <v>53</v>
      </c>
      <c r="N6" t="s">
        <v>31</v>
      </c>
      <c r="O6" t="s">
        <v>39</v>
      </c>
      <c r="P6" t="s">
        <v>54</v>
      </c>
    </row>
    <row r="7" spans="1:16" x14ac:dyDescent="0.25">
      <c r="A7" t="s">
        <v>55</v>
      </c>
      <c r="B7" s="3">
        <v>45745</v>
      </c>
      <c r="C7" t="s">
        <v>56</v>
      </c>
      <c r="D7" t="s">
        <v>18</v>
      </c>
      <c r="E7">
        <v>28</v>
      </c>
      <c r="F7" t="s">
        <v>51</v>
      </c>
      <c r="G7" t="s">
        <v>44</v>
      </c>
      <c r="H7" t="s">
        <v>45</v>
      </c>
      <c r="I7">
        <v>5</v>
      </c>
      <c r="J7">
        <v>1999</v>
      </c>
      <c r="K7">
        <v>9995</v>
      </c>
      <c r="L7">
        <v>15</v>
      </c>
      <c r="M7" t="s">
        <v>46</v>
      </c>
      <c r="N7" t="s">
        <v>47</v>
      </c>
      <c r="O7" t="s">
        <v>48</v>
      </c>
      <c r="P7" t="s">
        <v>57</v>
      </c>
    </row>
    <row r="8" spans="1:16" x14ac:dyDescent="0.25">
      <c r="A8" t="s">
        <v>58</v>
      </c>
      <c r="B8" s="3">
        <v>45863</v>
      </c>
      <c r="C8" t="s">
        <v>59</v>
      </c>
      <c r="D8" t="s">
        <v>18</v>
      </c>
      <c r="E8">
        <v>31</v>
      </c>
      <c r="F8" t="s">
        <v>60</v>
      </c>
      <c r="G8" t="s">
        <v>20</v>
      </c>
      <c r="H8" t="s">
        <v>52</v>
      </c>
      <c r="I8">
        <v>1</v>
      </c>
      <c r="J8">
        <v>599</v>
      </c>
      <c r="K8">
        <v>599</v>
      </c>
      <c r="L8">
        <v>5</v>
      </c>
      <c r="M8" t="s">
        <v>22</v>
      </c>
      <c r="N8" t="s">
        <v>61</v>
      </c>
      <c r="O8" t="s">
        <v>48</v>
      </c>
      <c r="P8" t="s">
        <v>62</v>
      </c>
    </row>
    <row r="9" spans="1:16" x14ac:dyDescent="0.25">
      <c r="A9" t="s">
        <v>63</v>
      </c>
      <c r="B9" s="3">
        <v>45945</v>
      </c>
      <c r="C9" t="s">
        <v>56</v>
      </c>
      <c r="D9" t="s">
        <v>35</v>
      </c>
      <c r="E9">
        <v>55</v>
      </c>
      <c r="F9" t="s">
        <v>28</v>
      </c>
      <c r="G9" t="s">
        <v>29</v>
      </c>
      <c r="H9" t="s">
        <v>64</v>
      </c>
      <c r="I9">
        <v>2</v>
      </c>
      <c r="J9">
        <v>399</v>
      </c>
      <c r="K9">
        <v>798</v>
      </c>
      <c r="L9">
        <v>20</v>
      </c>
      <c r="M9" t="s">
        <v>22</v>
      </c>
      <c r="N9" t="s">
        <v>31</v>
      </c>
      <c r="O9" t="s">
        <v>24</v>
      </c>
      <c r="P9" t="s">
        <v>65</v>
      </c>
    </row>
    <row r="10" spans="1:16" x14ac:dyDescent="0.25">
      <c r="A10" t="s">
        <v>66</v>
      </c>
      <c r="B10" s="3">
        <v>45714</v>
      </c>
      <c r="C10" t="s">
        <v>67</v>
      </c>
      <c r="D10" t="s">
        <v>18</v>
      </c>
      <c r="E10">
        <v>45</v>
      </c>
      <c r="F10" t="s">
        <v>19</v>
      </c>
      <c r="G10" t="s">
        <v>68</v>
      </c>
      <c r="H10" t="s">
        <v>69</v>
      </c>
      <c r="I10">
        <v>1</v>
      </c>
      <c r="J10">
        <v>199</v>
      </c>
      <c r="K10">
        <v>199</v>
      </c>
      <c r="L10">
        <v>15</v>
      </c>
      <c r="M10" t="s">
        <v>22</v>
      </c>
      <c r="N10" t="s">
        <v>61</v>
      </c>
      <c r="O10" t="s">
        <v>48</v>
      </c>
      <c r="P10" t="s">
        <v>70</v>
      </c>
    </row>
    <row r="11" spans="1:16" x14ac:dyDescent="0.25">
      <c r="A11" t="s">
        <v>71</v>
      </c>
      <c r="B11" s="3">
        <v>45932</v>
      </c>
      <c r="C11" t="s">
        <v>72</v>
      </c>
      <c r="D11" t="s">
        <v>35</v>
      </c>
      <c r="E11">
        <v>59</v>
      </c>
      <c r="F11" t="s">
        <v>60</v>
      </c>
      <c r="G11" t="s">
        <v>68</v>
      </c>
      <c r="H11" t="s">
        <v>73</v>
      </c>
      <c r="I11">
        <v>1</v>
      </c>
      <c r="J11">
        <v>1999</v>
      </c>
      <c r="K11">
        <v>1999</v>
      </c>
      <c r="L11">
        <v>0</v>
      </c>
      <c r="M11" t="s">
        <v>46</v>
      </c>
      <c r="N11" t="s">
        <v>61</v>
      </c>
      <c r="O11" t="s">
        <v>24</v>
      </c>
      <c r="P11" t="s">
        <v>62</v>
      </c>
    </row>
    <row r="12" spans="1:16" x14ac:dyDescent="0.25">
      <c r="A12" t="s">
        <v>74</v>
      </c>
      <c r="B12" s="3">
        <v>45917</v>
      </c>
      <c r="C12" t="s">
        <v>75</v>
      </c>
      <c r="D12" t="s">
        <v>35</v>
      </c>
      <c r="E12">
        <v>58</v>
      </c>
      <c r="F12" t="s">
        <v>76</v>
      </c>
      <c r="G12" t="s">
        <v>20</v>
      </c>
      <c r="H12" t="s">
        <v>77</v>
      </c>
      <c r="I12">
        <v>5</v>
      </c>
      <c r="J12">
        <v>299</v>
      </c>
      <c r="K12">
        <v>1495</v>
      </c>
      <c r="L12">
        <v>5</v>
      </c>
      <c r="M12" t="s">
        <v>46</v>
      </c>
      <c r="N12" t="s">
        <v>47</v>
      </c>
      <c r="O12" t="s">
        <v>48</v>
      </c>
      <c r="P12" t="s">
        <v>78</v>
      </c>
    </row>
    <row r="13" spans="1:16" x14ac:dyDescent="0.25">
      <c r="A13" t="s">
        <v>79</v>
      </c>
      <c r="B13" s="3">
        <v>45667</v>
      </c>
      <c r="C13" t="s">
        <v>80</v>
      </c>
      <c r="D13" t="s">
        <v>35</v>
      </c>
      <c r="E13">
        <v>37</v>
      </c>
      <c r="F13" t="s">
        <v>76</v>
      </c>
      <c r="G13" t="s">
        <v>20</v>
      </c>
      <c r="H13" t="s">
        <v>81</v>
      </c>
      <c r="I13">
        <v>3</v>
      </c>
      <c r="J13">
        <v>999</v>
      </c>
      <c r="K13">
        <v>2997</v>
      </c>
      <c r="L13">
        <v>0</v>
      </c>
      <c r="M13" t="s">
        <v>53</v>
      </c>
      <c r="N13" t="s">
        <v>23</v>
      </c>
      <c r="O13" t="s">
        <v>24</v>
      </c>
      <c r="P13" t="s">
        <v>82</v>
      </c>
    </row>
    <row r="14" spans="1:16" x14ac:dyDescent="0.25">
      <c r="A14" t="s">
        <v>83</v>
      </c>
      <c r="B14" s="3">
        <v>45995</v>
      </c>
      <c r="C14" t="s">
        <v>84</v>
      </c>
      <c r="D14" t="s">
        <v>18</v>
      </c>
      <c r="E14">
        <v>34</v>
      </c>
      <c r="F14" t="s">
        <v>28</v>
      </c>
      <c r="G14" t="s">
        <v>20</v>
      </c>
      <c r="H14" t="s">
        <v>81</v>
      </c>
      <c r="I14">
        <v>2</v>
      </c>
      <c r="J14">
        <v>299</v>
      </c>
      <c r="K14">
        <v>598</v>
      </c>
      <c r="L14">
        <v>5</v>
      </c>
      <c r="M14" t="s">
        <v>85</v>
      </c>
      <c r="N14" t="s">
        <v>47</v>
      </c>
      <c r="O14" t="s">
        <v>48</v>
      </c>
      <c r="P14" t="s">
        <v>86</v>
      </c>
    </row>
    <row r="15" spans="1:16" x14ac:dyDescent="0.25">
      <c r="A15" t="s">
        <v>87</v>
      </c>
      <c r="B15" s="3">
        <v>45889</v>
      </c>
      <c r="C15" t="s">
        <v>88</v>
      </c>
      <c r="D15" t="s">
        <v>18</v>
      </c>
      <c r="E15">
        <v>32</v>
      </c>
      <c r="F15" t="s">
        <v>19</v>
      </c>
      <c r="G15" t="s">
        <v>36</v>
      </c>
      <c r="H15" t="s">
        <v>37</v>
      </c>
      <c r="I15">
        <v>4</v>
      </c>
      <c r="J15">
        <v>1299</v>
      </c>
      <c r="K15">
        <v>5196</v>
      </c>
      <c r="L15">
        <v>10</v>
      </c>
      <c r="M15" t="s">
        <v>38</v>
      </c>
      <c r="N15" t="s">
        <v>47</v>
      </c>
      <c r="O15" t="s">
        <v>48</v>
      </c>
      <c r="P15" t="s">
        <v>89</v>
      </c>
    </row>
    <row r="16" spans="1:16" x14ac:dyDescent="0.25">
      <c r="A16" t="s">
        <v>90</v>
      </c>
      <c r="B16" s="3">
        <v>45692</v>
      </c>
      <c r="C16" t="s">
        <v>91</v>
      </c>
      <c r="D16" t="s">
        <v>35</v>
      </c>
      <c r="E16">
        <v>22</v>
      </c>
      <c r="F16" t="s">
        <v>76</v>
      </c>
      <c r="G16" t="s">
        <v>20</v>
      </c>
      <c r="H16" t="s">
        <v>21</v>
      </c>
      <c r="I16">
        <v>1</v>
      </c>
      <c r="J16">
        <v>399</v>
      </c>
      <c r="K16">
        <v>399</v>
      </c>
      <c r="L16">
        <v>10</v>
      </c>
      <c r="M16" t="s">
        <v>22</v>
      </c>
      <c r="N16" t="s">
        <v>47</v>
      </c>
      <c r="O16" t="s">
        <v>48</v>
      </c>
      <c r="P16" t="s">
        <v>65</v>
      </c>
    </row>
    <row r="17" spans="1:16" x14ac:dyDescent="0.25">
      <c r="A17" t="s">
        <v>92</v>
      </c>
      <c r="B17" s="3">
        <v>45900</v>
      </c>
      <c r="C17" t="s">
        <v>93</v>
      </c>
      <c r="D17" t="s">
        <v>18</v>
      </c>
      <c r="E17">
        <v>24</v>
      </c>
      <c r="F17" t="s">
        <v>19</v>
      </c>
      <c r="G17" t="s">
        <v>68</v>
      </c>
      <c r="H17" t="s">
        <v>94</v>
      </c>
      <c r="I17">
        <v>4</v>
      </c>
      <c r="J17">
        <v>399</v>
      </c>
      <c r="K17">
        <v>1596</v>
      </c>
      <c r="L17">
        <v>15</v>
      </c>
      <c r="M17" t="s">
        <v>46</v>
      </c>
      <c r="N17" t="s">
        <v>61</v>
      </c>
      <c r="O17" t="s">
        <v>39</v>
      </c>
      <c r="P17" t="s">
        <v>62</v>
      </c>
    </row>
    <row r="18" spans="1:16" x14ac:dyDescent="0.25">
      <c r="A18" t="s">
        <v>95</v>
      </c>
      <c r="B18" s="3">
        <v>45831</v>
      </c>
      <c r="C18" t="s">
        <v>75</v>
      </c>
      <c r="D18" t="s">
        <v>18</v>
      </c>
      <c r="E18">
        <v>30</v>
      </c>
      <c r="F18" t="s">
        <v>76</v>
      </c>
      <c r="G18" t="s">
        <v>20</v>
      </c>
      <c r="H18" t="s">
        <v>21</v>
      </c>
      <c r="I18">
        <v>1</v>
      </c>
      <c r="J18">
        <v>799</v>
      </c>
      <c r="K18">
        <v>799</v>
      </c>
      <c r="L18">
        <v>20</v>
      </c>
      <c r="M18" t="s">
        <v>22</v>
      </c>
      <c r="N18" t="s">
        <v>47</v>
      </c>
      <c r="O18" t="s">
        <v>39</v>
      </c>
      <c r="P18" t="s">
        <v>32</v>
      </c>
    </row>
    <row r="19" spans="1:16" x14ac:dyDescent="0.25">
      <c r="A19" t="s">
        <v>96</v>
      </c>
      <c r="B19" s="3">
        <v>45884</v>
      </c>
      <c r="C19" t="s">
        <v>97</v>
      </c>
      <c r="D19" t="s">
        <v>18</v>
      </c>
      <c r="E19">
        <v>21</v>
      </c>
      <c r="F19" t="s">
        <v>98</v>
      </c>
      <c r="G19" t="s">
        <v>44</v>
      </c>
      <c r="H19" t="s">
        <v>99</v>
      </c>
      <c r="I19">
        <v>2</v>
      </c>
      <c r="J19">
        <v>249</v>
      </c>
      <c r="K19">
        <v>498</v>
      </c>
      <c r="L19">
        <v>0</v>
      </c>
      <c r="M19" t="s">
        <v>53</v>
      </c>
      <c r="N19" t="s">
        <v>47</v>
      </c>
      <c r="O19" t="s">
        <v>39</v>
      </c>
      <c r="P19" t="s">
        <v>82</v>
      </c>
    </row>
    <row r="20" spans="1:16" x14ac:dyDescent="0.25">
      <c r="A20" t="s">
        <v>101</v>
      </c>
      <c r="B20" s="3">
        <v>45742</v>
      </c>
      <c r="C20" t="s">
        <v>42</v>
      </c>
      <c r="D20" t="s">
        <v>18</v>
      </c>
      <c r="E20">
        <v>42</v>
      </c>
      <c r="F20" t="s">
        <v>43</v>
      </c>
      <c r="G20" t="s">
        <v>36</v>
      </c>
      <c r="H20" t="s">
        <v>102</v>
      </c>
      <c r="I20">
        <v>4</v>
      </c>
      <c r="J20">
        <v>199</v>
      </c>
      <c r="K20">
        <v>796</v>
      </c>
      <c r="L20">
        <v>15</v>
      </c>
      <c r="M20" t="s">
        <v>46</v>
      </c>
      <c r="N20" t="s">
        <v>61</v>
      </c>
      <c r="O20" t="s">
        <v>48</v>
      </c>
      <c r="P20" t="s">
        <v>103</v>
      </c>
    </row>
    <row r="21" spans="1:16" x14ac:dyDescent="0.25">
      <c r="A21" t="s">
        <v>104</v>
      </c>
      <c r="B21" s="3">
        <v>45769</v>
      </c>
      <c r="C21" t="s">
        <v>105</v>
      </c>
      <c r="D21" t="s">
        <v>18</v>
      </c>
      <c r="E21">
        <v>38</v>
      </c>
      <c r="F21" t="s">
        <v>98</v>
      </c>
      <c r="G21" t="s">
        <v>36</v>
      </c>
      <c r="H21" t="s">
        <v>102</v>
      </c>
      <c r="I21">
        <v>2</v>
      </c>
      <c r="J21">
        <v>499</v>
      </c>
      <c r="K21">
        <v>998</v>
      </c>
      <c r="L21">
        <v>0</v>
      </c>
      <c r="M21" t="s">
        <v>85</v>
      </c>
      <c r="N21" t="s">
        <v>61</v>
      </c>
      <c r="O21" t="s">
        <v>48</v>
      </c>
      <c r="P21" t="s">
        <v>78</v>
      </c>
    </row>
    <row r="22" spans="1:16" x14ac:dyDescent="0.25">
      <c r="A22" t="s">
        <v>106</v>
      </c>
      <c r="B22" s="3">
        <v>45753</v>
      </c>
      <c r="C22" t="s">
        <v>107</v>
      </c>
      <c r="D22" t="s">
        <v>18</v>
      </c>
      <c r="E22">
        <v>33</v>
      </c>
      <c r="F22" t="s">
        <v>28</v>
      </c>
      <c r="G22" t="s">
        <v>29</v>
      </c>
      <c r="H22" t="s">
        <v>108</v>
      </c>
      <c r="I22">
        <v>5</v>
      </c>
      <c r="J22">
        <v>249</v>
      </c>
      <c r="K22">
        <v>1245</v>
      </c>
      <c r="L22">
        <v>0</v>
      </c>
      <c r="M22" t="s">
        <v>85</v>
      </c>
      <c r="N22" t="s">
        <v>47</v>
      </c>
      <c r="O22" t="s">
        <v>48</v>
      </c>
      <c r="P22" t="s">
        <v>40</v>
      </c>
    </row>
    <row r="23" spans="1:16" x14ac:dyDescent="0.25">
      <c r="A23" t="s">
        <v>109</v>
      </c>
      <c r="B23" s="3">
        <v>45994</v>
      </c>
      <c r="C23" t="s">
        <v>110</v>
      </c>
      <c r="D23" t="s">
        <v>35</v>
      </c>
      <c r="E23">
        <v>34</v>
      </c>
      <c r="F23" t="s">
        <v>76</v>
      </c>
      <c r="G23" t="s">
        <v>20</v>
      </c>
      <c r="H23" t="s">
        <v>81</v>
      </c>
      <c r="I23">
        <v>1</v>
      </c>
      <c r="J23">
        <v>799</v>
      </c>
      <c r="K23">
        <v>799</v>
      </c>
      <c r="L23">
        <v>10</v>
      </c>
      <c r="M23" t="s">
        <v>53</v>
      </c>
      <c r="N23" t="s">
        <v>31</v>
      </c>
      <c r="O23" t="s">
        <v>39</v>
      </c>
      <c r="P23" t="s">
        <v>65</v>
      </c>
    </row>
    <row r="24" spans="1:16" x14ac:dyDescent="0.25">
      <c r="A24" t="s">
        <v>111</v>
      </c>
      <c r="B24" s="3">
        <v>45662</v>
      </c>
      <c r="C24" t="s">
        <v>112</v>
      </c>
      <c r="D24" t="s">
        <v>18</v>
      </c>
      <c r="E24">
        <v>22</v>
      </c>
      <c r="F24" t="s">
        <v>76</v>
      </c>
      <c r="G24" t="s">
        <v>44</v>
      </c>
      <c r="H24" t="s">
        <v>99</v>
      </c>
      <c r="I24">
        <v>3</v>
      </c>
      <c r="J24">
        <v>249</v>
      </c>
      <c r="K24">
        <v>747</v>
      </c>
      <c r="L24">
        <v>20</v>
      </c>
      <c r="M24" t="s">
        <v>46</v>
      </c>
      <c r="N24" t="s">
        <v>47</v>
      </c>
      <c r="O24" t="s">
        <v>39</v>
      </c>
      <c r="P24" t="s">
        <v>25</v>
      </c>
    </row>
    <row r="25" spans="1:16" x14ac:dyDescent="0.25">
      <c r="A25" t="s">
        <v>113</v>
      </c>
      <c r="B25" s="3">
        <v>45882</v>
      </c>
      <c r="C25" t="s">
        <v>114</v>
      </c>
      <c r="D25" t="s">
        <v>35</v>
      </c>
      <c r="E25">
        <v>57</v>
      </c>
      <c r="F25" t="s">
        <v>98</v>
      </c>
      <c r="G25" t="s">
        <v>29</v>
      </c>
      <c r="H25" t="s">
        <v>64</v>
      </c>
      <c r="I25">
        <v>3</v>
      </c>
      <c r="J25">
        <v>299</v>
      </c>
      <c r="K25">
        <v>897</v>
      </c>
      <c r="L25">
        <v>20</v>
      </c>
      <c r="M25" t="s">
        <v>46</v>
      </c>
      <c r="N25" t="s">
        <v>23</v>
      </c>
      <c r="O25" t="s">
        <v>24</v>
      </c>
      <c r="P25" t="s">
        <v>70</v>
      </c>
    </row>
    <row r="26" spans="1:16" x14ac:dyDescent="0.25">
      <c r="A26" t="s">
        <v>115</v>
      </c>
      <c r="B26" s="3">
        <v>45797</v>
      </c>
      <c r="C26" t="s">
        <v>116</v>
      </c>
      <c r="D26" t="s">
        <v>18</v>
      </c>
      <c r="E26">
        <v>39</v>
      </c>
      <c r="F26" t="s">
        <v>76</v>
      </c>
      <c r="G26" t="s">
        <v>20</v>
      </c>
      <c r="H26" t="s">
        <v>21</v>
      </c>
      <c r="I26">
        <v>5</v>
      </c>
      <c r="J26">
        <v>299</v>
      </c>
      <c r="K26">
        <v>1495</v>
      </c>
      <c r="L26">
        <v>10</v>
      </c>
      <c r="M26" t="s">
        <v>85</v>
      </c>
      <c r="N26" t="s">
        <v>61</v>
      </c>
      <c r="O26" t="s">
        <v>39</v>
      </c>
      <c r="P26" t="s">
        <v>117</v>
      </c>
    </row>
    <row r="27" spans="1:16" x14ac:dyDescent="0.25">
      <c r="A27" t="s">
        <v>118</v>
      </c>
      <c r="B27" s="3">
        <v>45659</v>
      </c>
      <c r="C27" t="s">
        <v>119</v>
      </c>
      <c r="D27" t="s">
        <v>18</v>
      </c>
      <c r="E27">
        <v>58</v>
      </c>
      <c r="F27" t="s">
        <v>43</v>
      </c>
      <c r="G27" t="s">
        <v>20</v>
      </c>
      <c r="H27" t="s">
        <v>120</v>
      </c>
      <c r="I27">
        <v>3</v>
      </c>
      <c r="J27">
        <v>199</v>
      </c>
      <c r="K27">
        <v>597</v>
      </c>
      <c r="L27">
        <v>5</v>
      </c>
      <c r="M27" t="s">
        <v>22</v>
      </c>
      <c r="N27" t="s">
        <v>61</v>
      </c>
      <c r="O27" t="s">
        <v>48</v>
      </c>
      <c r="P27" t="s">
        <v>121</v>
      </c>
    </row>
    <row r="28" spans="1:16" x14ac:dyDescent="0.25">
      <c r="A28" t="s">
        <v>122</v>
      </c>
      <c r="B28" s="3">
        <v>45676</v>
      </c>
      <c r="C28" t="s">
        <v>123</v>
      </c>
      <c r="D28" t="s">
        <v>18</v>
      </c>
      <c r="E28">
        <v>45</v>
      </c>
      <c r="F28" t="s">
        <v>124</v>
      </c>
      <c r="G28" t="s">
        <v>20</v>
      </c>
      <c r="H28" t="s">
        <v>21</v>
      </c>
      <c r="I28">
        <v>2</v>
      </c>
      <c r="J28">
        <v>1299</v>
      </c>
      <c r="K28">
        <v>2598</v>
      </c>
      <c r="L28">
        <v>0</v>
      </c>
      <c r="M28" t="s">
        <v>46</v>
      </c>
      <c r="N28" t="s">
        <v>31</v>
      </c>
      <c r="O28" t="s">
        <v>24</v>
      </c>
      <c r="P28" t="s">
        <v>125</v>
      </c>
    </row>
    <row r="29" spans="1:16" x14ac:dyDescent="0.25">
      <c r="A29" t="s">
        <v>126</v>
      </c>
      <c r="B29" s="3">
        <v>45944</v>
      </c>
      <c r="C29" t="s">
        <v>93</v>
      </c>
      <c r="D29" t="s">
        <v>18</v>
      </c>
      <c r="E29">
        <v>33</v>
      </c>
      <c r="F29" t="s">
        <v>124</v>
      </c>
      <c r="G29" t="s">
        <v>29</v>
      </c>
      <c r="H29" t="s">
        <v>30</v>
      </c>
      <c r="I29">
        <v>1</v>
      </c>
      <c r="J29">
        <v>599</v>
      </c>
      <c r="K29">
        <v>599</v>
      </c>
      <c r="L29">
        <v>5</v>
      </c>
      <c r="M29" t="s">
        <v>22</v>
      </c>
      <c r="N29" t="s">
        <v>23</v>
      </c>
      <c r="O29" t="s">
        <v>24</v>
      </c>
      <c r="P29" t="s">
        <v>57</v>
      </c>
    </row>
    <row r="30" spans="1:16" x14ac:dyDescent="0.25">
      <c r="A30" t="s">
        <v>127</v>
      </c>
      <c r="B30" s="3">
        <v>46017</v>
      </c>
      <c r="C30" t="s">
        <v>75</v>
      </c>
      <c r="D30" t="s">
        <v>35</v>
      </c>
      <c r="E30">
        <v>20</v>
      </c>
      <c r="F30" t="s">
        <v>51</v>
      </c>
      <c r="G30" t="s">
        <v>36</v>
      </c>
      <c r="H30" t="s">
        <v>102</v>
      </c>
      <c r="I30">
        <v>3</v>
      </c>
      <c r="J30">
        <v>299</v>
      </c>
      <c r="K30">
        <v>897</v>
      </c>
      <c r="L30">
        <v>5</v>
      </c>
      <c r="M30" t="s">
        <v>53</v>
      </c>
      <c r="N30" t="s">
        <v>61</v>
      </c>
      <c r="O30" t="s">
        <v>39</v>
      </c>
      <c r="P30" t="s">
        <v>86</v>
      </c>
    </row>
    <row r="31" spans="1:16" x14ac:dyDescent="0.25">
      <c r="A31" t="s">
        <v>128</v>
      </c>
      <c r="B31" s="3">
        <v>45756</v>
      </c>
      <c r="C31" t="s">
        <v>129</v>
      </c>
      <c r="D31" t="s">
        <v>35</v>
      </c>
      <c r="E31">
        <v>35</v>
      </c>
      <c r="F31" t="s">
        <v>19</v>
      </c>
      <c r="G31" t="s">
        <v>29</v>
      </c>
      <c r="H31" t="s">
        <v>30</v>
      </c>
      <c r="I31">
        <v>1</v>
      </c>
      <c r="J31">
        <v>1999</v>
      </c>
      <c r="K31">
        <v>1999</v>
      </c>
      <c r="L31">
        <v>10</v>
      </c>
      <c r="M31" t="s">
        <v>46</v>
      </c>
      <c r="N31" t="s">
        <v>61</v>
      </c>
      <c r="O31" t="s">
        <v>48</v>
      </c>
      <c r="P31" t="s">
        <v>103</v>
      </c>
    </row>
    <row r="32" spans="1:16" x14ac:dyDescent="0.25">
      <c r="A32" t="s">
        <v>130</v>
      </c>
      <c r="B32" s="3">
        <v>45749</v>
      </c>
      <c r="C32" t="s">
        <v>110</v>
      </c>
      <c r="D32" t="s">
        <v>35</v>
      </c>
      <c r="E32">
        <v>20</v>
      </c>
      <c r="F32" t="s">
        <v>19</v>
      </c>
      <c r="G32" t="s">
        <v>44</v>
      </c>
      <c r="H32" t="s">
        <v>45</v>
      </c>
      <c r="I32">
        <v>1</v>
      </c>
      <c r="J32">
        <v>499</v>
      </c>
      <c r="K32">
        <v>499</v>
      </c>
      <c r="L32">
        <v>20</v>
      </c>
      <c r="M32" t="s">
        <v>22</v>
      </c>
      <c r="N32" t="s">
        <v>31</v>
      </c>
      <c r="O32" t="s">
        <v>48</v>
      </c>
      <c r="P32" t="s">
        <v>57</v>
      </c>
    </row>
    <row r="33" spans="1:16" x14ac:dyDescent="0.25">
      <c r="A33" t="s">
        <v>131</v>
      </c>
      <c r="B33" s="3">
        <v>45855</v>
      </c>
      <c r="C33" t="s">
        <v>132</v>
      </c>
      <c r="D33" t="s">
        <v>18</v>
      </c>
      <c r="E33">
        <v>34</v>
      </c>
      <c r="F33" t="s">
        <v>98</v>
      </c>
      <c r="G33" t="s">
        <v>36</v>
      </c>
      <c r="H33" t="s">
        <v>133</v>
      </c>
      <c r="I33">
        <v>5</v>
      </c>
      <c r="J33">
        <v>249</v>
      </c>
      <c r="K33">
        <v>1245</v>
      </c>
      <c r="L33">
        <v>15</v>
      </c>
      <c r="M33" t="s">
        <v>38</v>
      </c>
      <c r="N33" t="s">
        <v>47</v>
      </c>
      <c r="O33" t="s">
        <v>39</v>
      </c>
      <c r="P33" t="s">
        <v>134</v>
      </c>
    </row>
    <row r="34" spans="1:16" x14ac:dyDescent="0.25">
      <c r="A34" t="s">
        <v>135</v>
      </c>
      <c r="B34" s="3">
        <v>45997</v>
      </c>
      <c r="C34" t="s">
        <v>88</v>
      </c>
      <c r="D34" t="s">
        <v>35</v>
      </c>
      <c r="E34">
        <v>50</v>
      </c>
      <c r="F34" t="s">
        <v>43</v>
      </c>
      <c r="G34" t="s">
        <v>20</v>
      </c>
      <c r="H34" t="s">
        <v>77</v>
      </c>
      <c r="I34">
        <v>5</v>
      </c>
      <c r="J34">
        <v>599</v>
      </c>
      <c r="K34">
        <v>2995</v>
      </c>
      <c r="L34">
        <v>15</v>
      </c>
      <c r="M34" t="s">
        <v>46</v>
      </c>
      <c r="N34" t="s">
        <v>61</v>
      </c>
      <c r="O34" t="s">
        <v>48</v>
      </c>
      <c r="P34" t="s">
        <v>86</v>
      </c>
    </row>
    <row r="35" spans="1:16" x14ac:dyDescent="0.25">
      <c r="A35" t="s">
        <v>136</v>
      </c>
      <c r="B35" s="3">
        <v>45998</v>
      </c>
      <c r="C35" t="s">
        <v>42</v>
      </c>
      <c r="D35" t="s">
        <v>18</v>
      </c>
      <c r="E35">
        <v>57</v>
      </c>
      <c r="F35" t="s">
        <v>43</v>
      </c>
      <c r="G35" t="s">
        <v>68</v>
      </c>
      <c r="H35" t="s">
        <v>137</v>
      </c>
      <c r="I35">
        <v>2</v>
      </c>
      <c r="J35">
        <v>799</v>
      </c>
      <c r="K35">
        <v>1598</v>
      </c>
      <c r="L35">
        <v>15</v>
      </c>
      <c r="M35" t="s">
        <v>85</v>
      </c>
      <c r="N35" t="s">
        <v>23</v>
      </c>
      <c r="O35" t="s">
        <v>39</v>
      </c>
      <c r="P35" t="s">
        <v>86</v>
      </c>
    </row>
    <row r="36" spans="1:16" x14ac:dyDescent="0.25">
      <c r="A36" t="s">
        <v>138</v>
      </c>
      <c r="B36" s="3">
        <v>45993</v>
      </c>
      <c r="C36" t="s">
        <v>139</v>
      </c>
      <c r="D36" t="s">
        <v>35</v>
      </c>
      <c r="E36">
        <v>46</v>
      </c>
      <c r="F36" t="s">
        <v>51</v>
      </c>
      <c r="G36" t="s">
        <v>29</v>
      </c>
      <c r="H36" t="s">
        <v>140</v>
      </c>
      <c r="I36">
        <v>5</v>
      </c>
      <c r="J36">
        <v>1499</v>
      </c>
      <c r="K36">
        <v>7495</v>
      </c>
      <c r="L36">
        <v>5</v>
      </c>
      <c r="M36" t="s">
        <v>85</v>
      </c>
      <c r="N36" t="s">
        <v>61</v>
      </c>
      <c r="O36" t="s">
        <v>48</v>
      </c>
      <c r="P36" t="s">
        <v>32</v>
      </c>
    </row>
    <row r="37" spans="1:16" x14ac:dyDescent="0.25">
      <c r="A37" t="s">
        <v>141</v>
      </c>
      <c r="B37" s="3">
        <v>45982</v>
      </c>
      <c r="C37" t="s">
        <v>142</v>
      </c>
      <c r="D37" t="s">
        <v>35</v>
      </c>
      <c r="E37">
        <v>23</v>
      </c>
      <c r="F37" t="s">
        <v>76</v>
      </c>
      <c r="G37" t="s">
        <v>20</v>
      </c>
      <c r="H37" t="s">
        <v>77</v>
      </c>
      <c r="I37">
        <v>5</v>
      </c>
      <c r="J37">
        <v>1999</v>
      </c>
      <c r="K37">
        <v>9995</v>
      </c>
      <c r="L37">
        <v>10</v>
      </c>
      <c r="M37" t="s">
        <v>53</v>
      </c>
      <c r="N37" t="s">
        <v>47</v>
      </c>
      <c r="O37" t="s">
        <v>24</v>
      </c>
      <c r="P37" t="s">
        <v>121</v>
      </c>
    </row>
    <row r="38" spans="1:16" x14ac:dyDescent="0.25">
      <c r="A38" t="s">
        <v>143</v>
      </c>
      <c r="B38" s="3">
        <v>45695</v>
      </c>
      <c r="C38" t="s">
        <v>112</v>
      </c>
      <c r="D38" t="s">
        <v>35</v>
      </c>
      <c r="E38">
        <v>58</v>
      </c>
      <c r="F38" t="s">
        <v>76</v>
      </c>
      <c r="G38" t="s">
        <v>20</v>
      </c>
      <c r="H38" t="s">
        <v>52</v>
      </c>
      <c r="I38">
        <v>4</v>
      </c>
      <c r="J38">
        <v>1499</v>
      </c>
      <c r="K38">
        <v>5996</v>
      </c>
      <c r="L38">
        <v>15</v>
      </c>
      <c r="M38" t="s">
        <v>22</v>
      </c>
      <c r="N38" t="s">
        <v>61</v>
      </c>
      <c r="O38" t="s">
        <v>24</v>
      </c>
      <c r="P38" t="s">
        <v>65</v>
      </c>
    </row>
    <row r="39" spans="1:16" x14ac:dyDescent="0.25">
      <c r="A39" t="s">
        <v>144</v>
      </c>
      <c r="B39" s="3">
        <v>45748</v>
      </c>
      <c r="C39" t="s">
        <v>145</v>
      </c>
      <c r="D39" t="s">
        <v>35</v>
      </c>
      <c r="E39">
        <v>21</v>
      </c>
      <c r="F39" t="s">
        <v>76</v>
      </c>
      <c r="G39" t="s">
        <v>20</v>
      </c>
      <c r="H39" t="s">
        <v>21</v>
      </c>
      <c r="I39">
        <v>4</v>
      </c>
      <c r="J39">
        <v>399</v>
      </c>
      <c r="K39">
        <v>1596</v>
      </c>
      <c r="L39">
        <v>0</v>
      </c>
      <c r="M39" t="s">
        <v>22</v>
      </c>
      <c r="N39" t="s">
        <v>47</v>
      </c>
      <c r="O39" t="s">
        <v>39</v>
      </c>
      <c r="P39" t="s">
        <v>78</v>
      </c>
    </row>
    <row r="40" spans="1:16" x14ac:dyDescent="0.25">
      <c r="A40" t="s">
        <v>146</v>
      </c>
      <c r="B40" s="3">
        <v>45971</v>
      </c>
      <c r="C40" t="s">
        <v>147</v>
      </c>
      <c r="D40" t="s">
        <v>35</v>
      </c>
      <c r="E40">
        <v>53</v>
      </c>
      <c r="F40" t="s">
        <v>51</v>
      </c>
      <c r="G40" t="s">
        <v>68</v>
      </c>
      <c r="H40" t="s">
        <v>94</v>
      </c>
      <c r="I40">
        <v>3</v>
      </c>
      <c r="J40">
        <v>999</v>
      </c>
      <c r="K40">
        <v>2997</v>
      </c>
      <c r="L40">
        <v>5</v>
      </c>
      <c r="M40" t="s">
        <v>22</v>
      </c>
      <c r="N40" t="s">
        <v>61</v>
      </c>
      <c r="O40" t="s">
        <v>39</v>
      </c>
      <c r="P40" t="s">
        <v>89</v>
      </c>
    </row>
    <row r="41" spans="1:16" x14ac:dyDescent="0.25">
      <c r="A41" t="s">
        <v>149</v>
      </c>
      <c r="B41" s="3">
        <v>45780</v>
      </c>
      <c r="C41" t="s">
        <v>150</v>
      </c>
      <c r="D41" t="s">
        <v>35</v>
      </c>
      <c r="E41">
        <v>22</v>
      </c>
      <c r="F41" t="s">
        <v>43</v>
      </c>
      <c r="G41" t="s">
        <v>44</v>
      </c>
      <c r="H41" t="s">
        <v>151</v>
      </c>
      <c r="I41">
        <v>4</v>
      </c>
      <c r="J41">
        <v>1999</v>
      </c>
      <c r="K41">
        <v>7996</v>
      </c>
      <c r="L41">
        <v>5</v>
      </c>
      <c r="M41" t="s">
        <v>46</v>
      </c>
      <c r="N41" t="s">
        <v>31</v>
      </c>
      <c r="O41" t="s">
        <v>39</v>
      </c>
      <c r="P41" t="s">
        <v>103</v>
      </c>
    </row>
    <row r="42" spans="1:16" x14ac:dyDescent="0.25">
      <c r="A42" t="s">
        <v>152</v>
      </c>
      <c r="B42" s="3">
        <v>45854</v>
      </c>
      <c r="C42" t="s">
        <v>153</v>
      </c>
      <c r="D42" t="s">
        <v>18</v>
      </c>
      <c r="E42">
        <v>31</v>
      </c>
      <c r="F42" t="s">
        <v>19</v>
      </c>
      <c r="G42" t="s">
        <v>20</v>
      </c>
      <c r="H42" t="s">
        <v>52</v>
      </c>
      <c r="I42">
        <v>2</v>
      </c>
      <c r="J42">
        <v>399</v>
      </c>
      <c r="K42">
        <v>798</v>
      </c>
      <c r="L42">
        <v>15</v>
      </c>
      <c r="M42" t="s">
        <v>22</v>
      </c>
      <c r="N42" t="s">
        <v>31</v>
      </c>
      <c r="O42" t="s">
        <v>48</v>
      </c>
      <c r="P42" t="s">
        <v>62</v>
      </c>
    </row>
    <row r="43" spans="1:16" x14ac:dyDescent="0.25">
      <c r="A43" t="s">
        <v>154</v>
      </c>
      <c r="B43" s="3">
        <v>45857</v>
      </c>
      <c r="C43" t="s">
        <v>155</v>
      </c>
      <c r="D43" t="s">
        <v>18</v>
      </c>
      <c r="E43">
        <v>54</v>
      </c>
      <c r="F43" t="s">
        <v>28</v>
      </c>
      <c r="G43" t="s">
        <v>36</v>
      </c>
      <c r="H43" t="s">
        <v>156</v>
      </c>
      <c r="I43">
        <v>2</v>
      </c>
      <c r="J43">
        <v>799</v>
      </c>
      <c r="K43">
        <v>1598</v>
      </c>
      <c r="L43">
        <v>15</v>
      </c>
      <c r="M43" t="s">
        <v>38</v>
      </c>
      <c r="N43" t="s">
        <v>31</v>
      </c>
      <c r="O43" t="s">
        <v>39</v>
      </c>
      <c r="P43" t="s">
        <v>157</v>
      </c>
    </row>
    <row r="44" spans="1:16" x14ac:dyDescent="0.25">
      <c r="A44" t="s">
        <v>158</v>
      </c>
      <c r="B44" s="3">
        <v>45770</v>
      </c>
      <c r="C44" t="s">
        <v>159</v>
      </c>
      <c r="D44" t="s">
        <v>18</v>
      </c>
      <c r="E44">
        <v>35</v>
      </c>
      <c r="F44" t="s">
        <v>28</v>
      </c>
      <c r="G44" t="s">
        <v>36</v>
      </c>
      <c r="H44" t="s">
        <v>133</v>
      </c>
      <c r="I44">
        <v>5</v>
      </c>
      <c r="J44">
        <v>1499</v>
      </c>
      <c r="K44">
        <v>7495</v>
      </c>
      <c r="L44">
        <v>15</v>
      </c>
      <c r="M44" t="s">
        <v>38</v>
      </c>
      <c r="N44" t="s">
        <v>61</v>
      </c>
      <c r="O44" t="s">
        <v>39</v>
      </c>
      <c r="P44" t="s">
        <v>157</v>
      </c>
    </row>
    <row r="45" spans="1:16" x14ac:dyDescent="0.25">
      <c r="A45" t="s">
        <v>160</v>
      </c>
      <c r="B45" s="3">
        <v>45931</v>
      </c>
      <c r="C45" t="s">
        <v>161</v>
      </c>
      <c r="D45" t="s">
        <v>35</v>
      </c>
      <c r="E45">
        <v>55</v>
      </c>
      <c r="F45" t="s">
        <v>98</v>
      </c>
      <c r="G45" t="s">
        <v>29</v>
      </c>
      <c r="H45" t="s">
        <v>140</v>
      </c>
      <c r="I45">
        <v>2</v>
      </c>
      <c r="J45">
        <v>1499</v>
      </c>
      <c r="K45">
        <v>2998</v>
      </c>
      <c r="L45">
        <v>0</v>
      </c>
      <c r="M45" t="s">
        <v>22</v>
      </c>
      <c r="N45" t="s">
        <v>47</v>
      </c>
      <c r="O45" t="s">
        <v>39</v>
      </c>
      <c r="P45" t="s">
        <v>32</v>
      </c>
    </row>
    <row r="46" spans="1:16" x14ac:dyDescent="0.25">
      <c r="A46" t="s">
        <v>162</v>
      </c>
      <c r="B46" s="3">
        <v>45766</v>
      </c>
      <c r="C46" t="s">
        <v>112</v>
      </c>
      <c r="D46" t="s">
        <v>35</v>
      </c>
      <c r="E46">
        <v>39</v>
      </c>
      <c r="F46" t="s">
        <v>28</v>
      </c>
      <c r="G46" t="s">
        <v>20</v>
      </c>
      <c r="H46" t="s">
        <v>77</v>
      </c>
      <c r="I46">
        <v>4</v>
      </c>
      <c r="J46">
        <v>599</v>
      </c>
      <c r="K46">
        <v>2396</v>
      </c>
      <c r="L46">
        <v>10</v>
      </c>
      <c r="M46" t="s">
        <v>22</v>
      </c>
      <c r="N46" t="s">
        <v>31</v>
      </c>
      <c r="O46" t="s">
        <v>24</v>
      </c>
      <c r="P46" t="s">
        <v>82</v>
      </c>
    </row>
    <row r="47" spans="1:16" x14ac:dyDescent="0.25">
      <c r="A47" t="s">
        <v>163</v>
      </c>
      <c r="B47" s="3">
        <v>45772</v>
      </c>
      <c r="C47" t="s">
        <v>164</v>
      </c>
      <c r="D47" t="s">
        <v>18</v>
      </c>
      <c r="E47">
        <v>59</v>
      </c>
      <c r="F47" t="s">
        <v>98</v>
      </c>
      <c r="G47" t="s">
        <v>20</v>
      </c>
      <c r="H47" t="s">
        <v>81</v>
      </c>
      <c r="I47">
        <v>1</v>
      </c>
      <c r="J47">
        <v>599</v>
      </c>
      <c r="K47">
        <v>599</v>
      </c>
      <c r="L47">
        <v>0</v>
      </c>
      <c r="M47" t="s">
        <v>53</v>
      </c>
      <c r="N47" t="s">
        <v>47</v>
      </c>
      <c r="O47" t="s">
        <v>24</v>
      </c>
      <c r="P47" t="s">
        <v>40</v>
      </c>
    </row>
    <row r="48" spans="1:16" x14ac:dyDescent="0.25">
      <c r="A48" t="s">
        <v>165</v>
      </c>
      <c r="B48" s="3">
        <v>46000</v>
      </c>
      <c r="C48" t="s">
        <v>80</v>
      </c>
      <c r="D48" t="s">
        <v>18</v>
      </c>
      <c r="E48">
        <v>47</v>
      </c>
      <c r="F48" t="s">
        <v>43</v>
      </c>
      <c r="G48" t="s">
        <v>29</v>
      </c>
      <c r="H48" t="s">
        <v>30</v>
      </c>
      <c r="I48">
        <v>2</v>
      </c>
      <c r="J48">
        <v>999</v>
      </c>
      <c r="K48">
        <v>1998</v>
      </c>
      <c r="L48">
        <v>10</v>
      </c>
      <c r="M48" t="s">
        <v>53</v>
      </c>
      <c r="N48" t="s">
        <v>23</v>
      </c>
      <c r="O48" t="s">
        <v>24</v>
      </c>
      <c r="P48" t="s">
        <v>86</v>
      </c>
    </row>
    <row r="49" spans="1:16" x14ac:dyDescent="0.25">
      <c r="A49" t="s">
        <v>166</v>
      </c>
      <c r="B49" s="3">
        <v>45952</v>
      </c>
      <c r="C49" t="s">
        <v>167</v>
      </c>
      <c r="D49" t="s">
        <v>35</v>
      </c>
      <c r="E49">
        <v>43</v>
      </c>
      <c r="F49" t="s">
        <v>76</v>
      </c>
      <c r="G49" t="s">
        <v>20</v>
      </c>
      <c r="H49" t="s">
        <v>81</v>
      </c>
      <c r="I49">
        <v>1</v>
      </c>
      <c r="J49">
        <v>499</v>
      </c>
      <c r="K49">
        <v>499</v>
      </c>
      <c r="L49">
        <v>0</v>
      </c>
      <c r="M49" t="s">
        <v>85</v>
      </c>
      <c r="N49" t="s">
        <v>47</v>
      </c>
      <c r="O49" t="s">
        <v>24</v>
      </c>
      <c r="P49" t="s">
        <v>86</v>
      </c>
    </row>
    <row r="50" spans="1:16" x14ac:dyDescent="0.25">
      <c r="A50" t="s">
        <v>168</v>
      </c>
      <c r="B50" s="3">
        <v>45835</v>
      </c>
      <c r="C50" t="s">
        <v>56</v>
      </c>
      <c r="D50" t="s">
        <v>35</v>
      </c>
      <c r="E50">
        <v>60</v>
      </c>
      <c r="F50" t="s">
        <v>60</v>
      </c>
      <c r="G50" t="s">
        <v>68</v>
      </c>
      <c r="H50" t="s">
        <v>73</v>
      </c>
      <c r="I50">
        <v>5</v>
      </c>
      <c r="J50">
        <v>199</v>
      </c>
      <c r="K50">
        <v>995</v>
      </c>
      <c r="L50">
        <v>0</v>
      </c>
      <c r="M50" t="s">
        <v>85</v>
      </c>
      <c r="N50" t="s">
        <v>31</v>
      </c>
      <c r="O50" t="s">
        <v>24</v>
      </c>
      <c r="P50" t="s">
        <v>134</v>
      </c>
    </row>
    <row r="51" spans="1:16" x14ac:dyDescent="0.25">
      <c r="A51" t="s">
        <v>169</v>
      </c>
      <c r="B51" s="3">
        <v>45983</v>
      </c>
      <c r="C51" t="s">
        <v>112</v>
      </c>
      <c r="D51" t="s">
        <v>18</v>
      </c>
      <c r="E51">
        <v>45</v>
      </c>
      <c r="F51" t="s">
        <v>124</v>
      </c>
      <c r="G51" t="s">
        <v>36</v>
      </c>
      <c r="H51" t="s">
        <v>156</v>
      </c>
      <c r="I51">
        <v>4</v>
      </c>
      <c r="J51">
        <v>599</v>
      </c>
      <c r="K51">
        <v>2396</v>
      </c>
      <c r="L51">
        <v>20</v>
      </c>
      <c r="M51" t="s">
        <v>46</v>
      </c>
      <c r="N51" t="s">
        <v>61</v>
      </c>
      <c r="O51" t="s">
        <v>39</v>
      </c>
      <c r="P51" t="s">
        <v>134</v>
      </c>
    </row>
    <row r="52" spans="1:16" x14ac:dyDescent="0.25">
      <c r="A52" t="s">
        <v>170</v>
      </c>
      <c r="B52" s="3">
        <v>45702</v>
      </c>
      <c r="C52" t="s">
        <v>150</v>
      </c>
      <c r="D52" t="s">
        <v>35</v>
      </c>
      <c r="E52">
        <v>33</v>
      </c>
      <c r="F52" t="s">
        <v>51</v>
      </c>
      <c r="G52" t="s">
        <v>68</v>
      </c>
      <c r="H52" t="s">
        <v>171</v>
      </c>
      <c r="I52">
        <v>3</v>
      </c>
      <c r="J52">
        <v>399</v>
      </c>
      <c r="K52">
        <v>1197</v>
      </c>
      <c r="L52">
        <v>20</v>
      </c>
      <c r="M52" t="s">
        <v>85</v>
      </c>
      <c r="N52" t="s">
        <v>61</v>
      </c>
      <c r="O52" t="s">
        <v>39</v>
      </c>
      <c r="P52" t="s">
        <v>121</v>
      </c>
    </row>
    <row r="53" spans="1:16" x14ac:dyDescent="0.25">
      <c r="A53" t="s">
        <v>172</v>
      </c>
      <c r="B53" s="3">
        <v>45766</v>
      </c>
      <c r="C53" t="s">
        <v>173</v>
      </c>
      <c r="D53" t="s">
        <v>35</v>
      </c>
      <c r="E53">
        <v>39</v>
      </c>
      <c r="F53" t="s">
        <v>43</v>
      </c>
      <c r="G53" t="s">
        <v>36</v>
      </c>
      <c r="H53" t="s">
        <v>37</v>
      </c>
      <c r="I53">
        <v>2</v>
      </c>
      <c r="J53">
        <v>999</v>
      </c>
      <c r="K53">
        <v>1998</v>
      </c>
      <c r="L53">
        <v>20</v>
      </c>
      <c r="M53" t="s">
        <v>46</v>
      </c>
      <c r="N53" t="s">
        <v>23</v>
      </c>
      <c r="O53" t="s">
        <v>48</v>
      </c>
      <c r="P53" t="s">
        <v>54</v>
      </c>
    </row>
    <row r="54" spans="1:16" x14ac:dyDescent="0.25">
      <c r="A54" t="s">
        <v>174</v>
      </c>
      <c r="B54" s="3">
        <v>45942</v>
      </c>
      <c r="C54" t="s">
        <v>34</v>
      </c>
      <c r="D54" t="s">
        <v>18</v>
      </c>
      <c r="E54">
        <v>48</v>
      </c>
      <c r="F54" t="s">
        <v>51</v>
      </c>
      <c r="G54" t="s">
        <v>20</v>
      </c>
      <c r="H54" t="s">
        <v>52</v>
      </c>
      <c r="I54">
        <v>4</v>
      </c>
      <c r="J54">
        <v>999</v>
      </c>
      <c r="K54">
        <v>3996</v>
      </c>
      <c r="L54">
        <v>15</v>
      </c>
      <c r="M54" t="s">
        <v>38</v>
      </c>
      <c r="N54" t="s">
        <v>23</v>
      </c>
      <c r="O54" t="s">
        <v>39</v>
      </c>
      <c r="P54" t="s">
        <v>89</v>
      </c>
    </row>
    <row r="55" spans="1:16" x14ac:dyDescent="0.25">
      <c r="A55" t="s">
        <v>175</v>
      </c>
      <c r="B55" s="3">
        <v>45955</v>
      </c>
      <c r="C55" t="s">
        <v>123</v>
      </c>
      <c r="D55" t="s">
        <v>35</v>
      </c>
      <c r="E55">
        <v>53</v>
      </c>
      <c r="F55" t="s">
        <v>60</v>
      </c>
      <c r="G55" t="s">
        <v>36</v>
      </c>
      <c r="H55" t="s">
        <v>102</v>
      </c>
      <c r="I55">
        <v>3</v>
      </c>
      <c r="J55">
        <v>1999</v>
      </c>
      <c r="K55">
        <v>5997</v>
      </c>
      <c r="L55">
        <v>15</v>
      </c>
      <c r="M55" t="s">
        <v>85</v>
      </c>
      <c r="N55" t="s">
        <v>31</v>
      </c>
      <c r="O55" t="s">
        <v>39</v>
      </c>
      <c r="P55" t="s">
        <v>62</v>
      </c>
    </row>
    <row r="56" spans="1:16" x14ac:dyDescent="0.25">
      <c r="A56" t="s">
        <v>176</v>
      </c>
      <c r="B56" s="3">
        <v>45719</v>
      </c>
      <c r="C56" t="s">
        <v>147</v>
      </c>
      <c r="D56" t="s">
        <v>18</v>
      </c>
      <c r="E56">
        <v>38</v>
      </c>
      <c r="F56" t="s">
        <v>19</v>
      </c>
      <c r="G56" t="s">
        <v>44</v>
      </c>
      <c r="H56" t="s">
        <v>177</v>
      </c>
      <c r="I56">
        <v>3</v>
      </c>
      <c r="J56">
        <v>399</v>
      </c>
      <c r="K56">
        <v>1197</v>
      </c>
      <c r="L56">
        <v>20</v>
      </c>
      <c r="M56" t="s">
        <v>53</v>
      </c>
      <c r="N56" t="s">
        <v>47</v>
      </c>
      <c r="O56" t="s">
        <v>24</v>
      </c>
      <c r="P56" t="s">
        <v>82</v>
      </c>
    </row>
    <row r="57" spans="1:16" x14ac:dyDescent="0.25">
      <c r="A57" t="s">
        <v>178</v>
      </c>
      <c r="B57" s="3">
        <v>45802</v>
      </c>
      <c r="C57" t="s">
        <v>50</v>
      </c>
      <c r="D57" t="s">
        <v>18</v>
      </c>
      <c r="E57">
        <v>36</v>
      </c>
      <c r="F57" t="s">
        <v>76</v>
      </c>
      <c r="G57" t="s">
        <v>44</v>
      </c>
      <c r="H57" t="s">
        <v>151</v>
      </c>
      <c r="I57">
        <v>5</v>
      </c>
      <c r="J57">
        <v>1499</v>
      </c>
      <c r="K57">
        <v>7495</v>
      </c>
      <c r="L57">
        <v>10</v>
      </c>
      <c r="M57" t="s">
        <v>53</v>
      </c>
      <c r="N57" t="s">
        <v>31</v>
      </c>
      <c r="O57" t="s">
        <v>24</v>
      </c>
      <c r="P57" t="s">
        <v>103</v>
      </c>
    </row>
    <row r="58" spans="1:16" x14ac:dyDescent="0.25">
      <c r="A58" t="s">
        <v>179</v>
      </c>
      <c r="B58" s="3">
        <v>45941</v>
      </c>
      <c r="C58" t="s">
        <v>180</v>
      </c>
      <c r="D58" t="s">
        <v>18</v>
      </c>
      <c r="E58">
        <v>58</v>
      </c>
      <c r="F58" t="s">
        <v>51</v>
      </c>
      <c r="G58" t="s">
        <v>29</v>
      </c>
      <c r="H58" t="s">
        <v>64</v>
      </c>
      <c r="I58">
        <v>1</v>
      </c>
      <c r="J58">
        <v>199</v>
      </c>
      <c r="K58">
        <v>199</v>
      </c>
      <c r="L58">
        <v>0</v>
      </c>
      <c r="M58" t="s">
        <v>38</v>
      </c>
      <c r="N58" t="s">
        <v>31</v>
      </c>
      <c r="O58" t="s">
        <v>39</v>
      </c>
      <c r="P58" t="s">
        <v>82</v>
      </c>
    </row>
    <row r="59" spans="1:16" x14ac:dyDescent="0.25">
      <c r="A59" t="s">
        <v>181</v>
      </c>
      <c r="B59" s="3">
        <v>45787</v>
      </c>
      <c r="C59" t="s">
        <v>182</v>
      </c>
      <c r="D59" t="s">
        <v>18</v>
      </c>
      <c r="E59">
        <v>22</v>
      </c>
      <c r="F59" t="s">
        <v>28</v>
      </c>
      <c r="G59" t="s">
        <v>36</v>
      </c>
      <c r="H59" t="s">
        <v>37</v>
      </c>
      <c r="I59">
        <v>2</v>
      </c>
      <c r="J59">
        <v>199</v>
      </c>
      <c r="K59">
        <v>398</v>
      </c>
      <c r="L59">
        <v>15</v>
      </c>
      <c r="M59" t="s">
        <v>38</v>
      </c>
      <c r="N59" t="s">
        <v>23</v>
      </c>
      <c r="O59" t="s">
        <v>24</v>
      </c>
      <c r="P59" t="s">
        <v>65</v>
      </c>
    </row>
    <row r="60" spans="1:16" x14ac:dyDescent="0.25">
      <c r="A60" t="s">
        <v>183</v>
      </c>
      <c r="B60" s="3">
        <v>45718</v>
      </c>
      <c r="C60" t="s">
        <v>27</v>
      </c>
      <c r="D60" t="s">
        <v>35</v>
      </c>
      <c r="E60">
        <v>56</v>
      </c>
      <c r="F60" t="s">
        <v>76</v>
      </c>
      <c r="G60" t="s">
        <v>68</v>
      </c>
      <c r="H60" t="s">
        <v>171</v>
      </c>
      <c r="I60">
        <v>1</v>
      </c>
      <c r="J60">
        <v>399</v>
      </c>
      <c r="K60">
        <v>399</v>
      </c>
      <c r="L60">
        <v>20</v>
      </c>
      <c r="M60" t="s">
        <v>22</v>
      </c>
      <c r="N60" t="s">
        <v>61</v>
      </c>
      <c r="O60" t="s">
        <v>39</v>
      </c>
      <c r="P60" t="s">
        <v>86</v>
      </c>
    </row>
    <row r="61" spans="1:16" x14ac:dyDescent="0.25">
      <c r="A61" t="s">
        <v>184</v>
      </c>
      <c r="B61" s="3">
        <v>45975</v>
      </c>
      <c r="C61" t="s">
        <v>105</v>
      </c>
      <c r="D61" t="s">
        <v>18</v>
      </c>
      <c r="E61">
        <v>31</v>
      </c>
      <c r="F61" t="s">
        <v>76</v>
      </c>
      <c r="G61" t="s">
        <v>68</v>
      </c>
      <c r="H61" t="s">
        <v>69</v>
      </c>
      <c r="I61">
        <v>3</v>
      </c>
      <c r="J61">
        <v>1499</v>
      </c>
      <c r="K61">
        <v>4497</v>
      </c>
      <c r="L61">
        <v>10</v>
      </c>
      <c r="M61" t="s">
        <v>38</v>
      </c>
      <c r="N61" t="s">
        <v>47</v>
      </c>
      <c r="O61" t="s">
        <v>24</v>
      </c>
      <c r="P61" t="s">
        <v>32</v>
      </c>
    </row>
    <row r="62" spans="1:16" x14ac:dyDescent="0.25">
      <c r="A62" t="s">
        <v>185</v>
      </c>
      <c r="B62" s="3">
        <v>45867</v>
      </c>
      <c r="C62" t="s">
        <v>186</v>
      </c>
      <c r="D62" t="s">
        <v>35</v>
      </c>
      <c r="E62">
        <v>36</v>
      </c>
      <c r="F62" t="s">
        <v>98</v>
      </c>
      <c r="G62" t="s">
        <v>68</v>
      </c>
      <c r="H62" t="s">
        <v>73</v>
      </c>
      <c r="I62">
        <v>2</v>
      </c>
      <c r="J62">
        <v>199</v>
      </c>
      <c r="K62">
        <v>398</v>
      </c>
      <c r="L62">
        <v>5</v>
      </c>
      <c r="M62" t="s">
        <v>46</v>
      </c>
      <c r="N62" t="s">
        <v>31</v>
      </c>
      <c r="O62" t="s">
        <v>48</v>
      </c>
      <c r="P62" t="s">
        <v>62</v>
      </c>
    </row>
    <row r="63" spans="1:16" x14ac:dyDescent="0.25">
      <c r="A63" t="s">
        <v>187</v>
      </c>
      <c r="B63" s="3">
        <v>45959</v>
      </c>
      <c r="C63" t="s">
        <v>188</v>
      </c>
      <c r="D63" t="s">
        <v>18</v>
      </c>
      <c r="E63">
        <v>45</v>
      </c>
      <c r="F63" t="s">
        <v>19</v>
      </c>
      <c r="G63" t="s">
        <v>20</v>
      </c>
      <c r="H63" t="s">
        <v>52</v>
      </c>
      <c r="I63">
        <v>3</v>
      </c>
      <c r="J63">
        <v>1999</v>
      </c>
      <c r="K63">
        <v>5997</v>
      </c>
      <c r="L63">
        <v>20</v>
      </c>
      <c r="M63" t="s">
        <v>53</v>
      </c>
      <c r="N63" t="s">
        <v>47</v>
      </c>
      <c r="O63" t="s">
        <v>39</v>
      </c>
      <c r="P63" t="s">
        <v>65</v>
      </c>
    </row>
    <row r="64" spans="1:16" x14ac:dyDescent="0.25">
      <c r="A64" t="s">
        <v>189</v>
      </c>
      <c r="B64" s="3">
        <v>45962</v>
      </c>
      <c r="C64" t="s">
        <v>190</v>
      </c>
      <c r="D64" t="s">
        <v>35</v>
      </c>
      <c r="E64">
        <v>46</v>
      </c>
      <c r="F64" t="s">
        <v>19</v>
      </c>
      <c r="G64" t="s">
        <v>20</v>
      </c>
      <c r="H64" t="s">
        <v>21</v>
      </c>
      <c r="I64">
        <v>2</v>
      </c>
      <c r="J64">
        <v>499</v>
      </c>
      <c r="K64">
        <v>998</v>
      </c>
      <c r="L64">
        <v>15</v>
      </c>
      <c r="M64" t="s">
        <v>46</v>
      </c>
      <c r="N64" t="s">
        <v>61</v>
      </c>
      <c r="O64" t="s">
        <v>39</v>
      </c>
      <c r="P64" t="s">
        <v>78</v>
      </c>
    </row>
    <row r="65" spans="1:16" x14ac:dyDescent="0.25">
      <c r="A65" t="s">
        <v>191</v>
      </c>
      <c r="B65" s="3">
        <v>45964</v>
      </c>
      <c r="C65" t="s">
        <v>192</v>
      </c>
      <c r="D65" t="s">
        <v>35</v>
      </c>
      <c r="E65">
        <v>38</v>
      </c>
      <c r="F65" t="s">
        <v>43</v>
      </c>
      <c r="G65" t="s">
        <v>68</v>
      </c>
      <c r="H65" t="s">
        <v>69</v>
      </c>
      <c r="I65">
        <v>4</v>
      </c>
      <c r="J65">
        <v>249</v>
      </c>
      <c r="K65">
        <v>996</v>
      </c>
      <c r="L65">
        <v>0</v>
      </c>
      <c r="M65" t="s">
        <v>38</v>
      </c>
      <c r="N65" t="s">
        <v>47</v>
      </c>
      <c r="O65" t="s">
        <v>48</v>
      </c>
      <c r="P65" t="s">
        <v>193</v>
      </c>
    </row>
    <row r="66" spans="1:16" x14ac:dyDescent="0.25">
      <c r="A66" t="s">
        <v>194</v>
      </c>
      <c r="B66" s="3">
        <v>45678</v>
      </c>
      <c r="C66" t="s">
        <v>34</v>
      </c>
      <c r="D66" t="s">
        <v>18</v>
      </c>
      <c r="E66">
        <v>48</v>
      </c>
      <c r="F66" t="s">
        <v>51</v>
      </c>
      <c r="G66" t="s">
        <v>68</v>
      </c>
      <c r="H66" t="s">
        <v>73</v>
      </c>
      <c r="I66">
        <v>3</v>
      </c>
      <c r="J66">
        <v>1499</v>
      </c>
      <c r="K66">
        <v>4497</v>
      </c>
      <c r="L66">
        <v>10</v>
      </c>
      <c r="M66" t="s">
        <v>53</v>
      </c>
      <c r="N66" t="s">
        <v>61</v>
      </c>
      <c r="O66" t="s">
        <v>48</v>
      </c>
      <c r="P66" t="s">
        <v>82</v>
      </c>
    </row>
    <row r="67" spans="1:16" x14ac:dyDescent="0.25">
      <c r="A67" t="s">
        <v>195</v>
      </c>
      <c r="B67" s="3">
        <v>45828</v>
      </c>
      <c r="C67" t="s">
        <v>139</v>
      </c>
      <c r="D67" t="s">
        <v>18</v>
      </c>
      <c r="E67">
        <v>28</v>
      </c>
      <c r="F67" t="s">
        <v>60</v>
      </c>
      <c r="G67" t="s">
        <v>20</v>
      </c>
      <c r="H67" t="s">
        <v>120</v>
      </c>
      <c r="I67">
        <v>3</v>
      </c>
      <c r="J67">
        <v>799</v>
      </c>
      <c r="K67">
        <v>2397</v>
      </c>
      <c r="L67">
        <v>15</v>
      </c>
      <c r="M67" t="s">
        <v>22</v>
      </c>
      <c r="N67" t="s">
        <v>31</v>
      </c>
      <c r="O67" t="s">
        <v>48</v>
      </c>
      <c r="P67" t="s">
        <v>157</v>
      </c>
    </row>
    <row r="68" spans="1:16" x14ac:dyDescent="0.25">
      <c r="A68" t="s">
        <v>196</v>
      </c>
      <c r="B68" s="3">
        <v>45819</v>
      </c>
      <c r="C68" t="s">
        <v>197</v>
      </c>
      <c r="D68" t="s">
        <v>35</v>
      </c>
      <c r="E68">
        <v>25</v>
      </c>
      <c r="F68" t="s">
        <v>28</v>
      </c>
      <c r="G68" t="s">
        <v>68</v>
      </c>
      <c r="H68" t="s">
        <v>73</v>
      </c>
      <c r="I68">
        <v>4</v>
      </c>
      <c r="J68">
        <v>249</v>
      </c>
      <c r="K68">
        <v>996</v>
      </c>
      <c r="L68">
        <v>20</v>
      </c>
      <c r="M68" t="s">
        <v>38</v>
      </c>
      <c r="N68" t="s">
        <v>61</v>
      </c>
      <c r="O68" t="s">
        <v>39</v>
      </c>
      <c r="P68" t="s">
        <v>117</v>
      </c>
    </row>
    <row r="69" spans="1:16" x14ac:dyDescent="0.25">
      <c r="A69" t="s">
        <v>198</v>
      </c>
      <c r="B69" s="3">
        <v>45913</v>
      </c>
      <c r="C69" t="s">
        <v>199</v>
      </c>
      <c r="D69" t="s">
        <v>35</v>
      </c>
      <c r="E69">
        <v>21</v>
      </c>
      <c r="F69" t="s">
        <v>76</v>
      </c>
      <c r="G69" t="s">
        <v>29</v>
      </c>
      <c r="H69" t="s">
        <v>200</v>
      </c>
      <c r="I69">
        <v>3</v>
      </c>
      <c r="J69">
        <v>1499</v>
      </c>
      <c r="K69">
        <v>4497</v>
      </c>
      <c r="L69">
        <v>10</v>
      </c>
      <c r="M69" t="s">
        <v>85</v>
      </c>
      <c r="N69" t="s">
        <v>47</v>
      </c>
      <c r="O69" t="s">
        <v>39</v>
      </c>
      <c r="P69" t="s">
        <v>62</v>
      </c>
    </row>
    <row r="70" spans="1:16" x14ac:dyDescent="0.25">
      <c r="A70" t="s">
        <v>201</v>
      </c>
      <c r="B70" s="3">
        <v>45969</v>
      </c>
      <c r="C70" t="s">
        <v>202</v>
      </c>
      <c r="D70" t="s">
        <v>18</v>
      </c>
      <c r="E70">
        <v>37</v>
      </c>
      <c r="F70" t="s">
        <v>98</v>
      </c>
      <c r="G70" t="s">
        <v>36</v>
      </c>
      <c r="H70" t="s">
        <v>156</v>
      </c>
      <c r="I70">
        <v>1</v>
      </c>
      <c r="J70">
        <v>1999</v>
      </c>
      <c r="K70">
        <v>1999</v>
      </c>
      <c r="L70">
        <v>20</v>
      </c>
      <c r="M70" t="s">
        <v>22</v>
      </c>
      <c r="N70" t="s">
        <v>23</v>
      </c>
      <c r="O70" t="s">
        <v>24</v>
      </c>
      <c r="P70" t="s">
        <v>203</v>
      </c>
    </row>
    <row r="71" spans="1:16" x14ac:dyDescent="0.25">
      <c r="A71" t="s">
        <v>204</v>
      </c>
      <c r="B71" s="3">
        <v>45807</v>
      </c>
      <c r="C71" t="s">
        <v>205</v>
      </c>
      <c r="D71" t="s">
        <v>35</v>
      </c>
      <c r="E71">
        <v>44</v>
      </c>
      <c r="F71" t="s">
        <v>51</v>
      </c>
      <c r="G71" t="s">
        <v>36</v>
      </c>
      <c r="H71" t="s">
        <v>156</v>
      </c>
      <c r="I71">
        <v>2</v>
      </c>
      <c r="J71">
        <v>999</v>
      </c>
      <c r="K71">
        <v>1998</v>
      </c>
      <c r="L71">
        <v>15</v>
      </c>
      <c r="M71" t="s">
        <v>53</v>
      </c>
      <c r="N71" t="s">
        <v>61</v>
      </c>
      <c r="O71" t="s">
        <v>48</v>
      </c>
      <c r="P71" t="s">
        <v>65</v>
      </c>
    </row>
    <row r="72" spans="1:16" x14ac:dyDescent="0.25">
      <c r="A72" t="s">
        <v>206</v>
      </c>
      <c r="B72" s="3">
        <v>45727</v>
      </c>
      <c r="C72" t="s">
        <v>107</v>
      </c>
      <c r="D72" t="s">
        <v>35</v>
      </c>
      <c r="E72">
        <v>44</v>
      </c>
      <c r="F72" t="s">
        <v>60</v>
      </c>
      <c r="G72" t="s">
        <v>36</v>
      </c>
      <c r="H72" t="s">
        <v>102</v>
      </c>
      <c r="I72">
        <v>5</v>
      </c>
      <c r="J72">
        <v>1299</v>
      </c>
      <c r="K72">
        <v>6495</v>
      </c>
      <c r="L72">
        <v>20</v>
      </c>
      <c r="M72" t="s">
        <v>46</v>
      </c>
      <c r="N72" t="s">
        <v>23</v>
      </c>
      <c r="O72" t="s">
        <v>39</v>
      </c>
      <c r="P72" t="s">
        <v>86</v>
      </c>
    </row>
    <row r="73" spans="1:16" x14ac:dyDescent="0.25">
      <c r="A73" t="s">
        <v>207</v>
      </c>
      <c r="B73" s="3">
        <v>45886</v>
      </c>
      <c r="C73" t="s">
        <v>56</v>
      </c>
      <c r="D73" t="s">
        <v>35</v>
      </c>
      <c r="E73">
        <v>40</v>
      </c>
      <c r="F73" t="s">
        <v>60</v>
      </c>
      <c r="G73" t="s">
        <v>68</v>
      </c>
      <c r="H73" t="s">
        <v>94</v>
      </c>
      <c r="I73">
        <v>4</v>
      </c>
      <c r="J73">
        <v>299</v>
      </c>
      <c r="K73">
        <v>1196</v>
      </c>
      <c r="L73">
        <v>20</v>
      </c>
      <c r="M73" t="s">
        <v>85</v>
      </c>
      <c r="N73" t="s">
        <v>61</v>
      </c>
      <c r="O73" t="s">
        <v>39</v>
      </c>
      <c r="P73" t="s">
        <v>57</v>
      </c>
    </row>
    <row r="74" spans="1:16" x14ac:dyDescent="0.25">
      <c r="A74" t="s">
        <v>208</v>
      </c>
      <c r="B74" s="3">
        <v>45777</v>
      </c>
      <c r="C74" t="s">
        <v>209</v>
      </c>
      <c r="D74" t="s">
        <v>35</v>
      </c>
      <c r="E74">
        <v>20</v>
      </c>
      <c r="F74" t="s">
        <v>60</v>
      </c>
      <c r="G74" t="s">
        <v>29</v>
      </c>
      <c r="H74" t="s">
        <v>30</v>
      </c>
      <c r="I74">
        <v>5</v>
      </c>
      <c r="J74">
        <v>799</v>
      </c>
      <c r="K74">
        <v>3995</v>
      </c>
      <c r="L74">
        <v>15</v>
      </c>
      <c r="M74" t="s">
        <v>210</v>
      </c>
      <c r="N74" t="s">
        <v>61</v>
      </c>
      <c r="O74" t="s">
        <v>48</v>
      </c>
      <c r="P74" t="s">
        <v>65</v>
      </c>
    </row>
    <row r="75" spans="1:16" x14ac:dyDescent="0.25">
      <c r="A75" t="s">
        <v>211</v>
      </c>
      <c r="B75" s="3">
        <v>45960</v>
      </c>
      <c r="C75" t="s">
        <v>119</v>
      </c>
      <c r="D75" t="s">
        <v>18</v>
      </c>
      <c r="E75">
        <v>46</v>
      </c>
      <c r="F75" t="s">
        <v>19</v>
      </c>
      <c r="G75" t="s">
        <v>36</v>
      </c>
      <c r="H75" t="s">
        <v>156</v>
      </c>
      <c r="I75">
        <v>2</v>
      </c>
      <c r="J75">
        <v>1299</v>
      </c>
      <c r="K75">
        <v>2598</v>
      </c>
      <c r="L75">
        <v>20</v>
      </c>
      <c r="M75" t="s">
        <v>22</v>
      </c>
      <c r="N75" t="s">
        <v>23</v>
      </c>
      <c r="O75" t="s">
        <v>48</v>
      </c>
      <c r="P75" t="s">
        <v>65</v>
      </c>
    </row>
    <row r="76" spans="1:16" x14ac:dyDescent="0.25">
      <c r="A76" t="s">
        <v>212</v>
      </c>
      <c r="B76" s="3">
        <v>45793</v>
      </c>
      <c r="C76" t="s">
        <v>213</v>
      </c>
      <c r="D76" t="s">
        <v>35</v>
      </c>
      <c r="E76">
        <v>59</v>
      </c>
      <c r="F76" t="s">
        <v>19</v>
      </c>
      <c r="G76" t="s">
        <v>36</v>
      </c>
      <c r="H76" t="s">
        <v>102</v>
      </c>
      <c r="I76">
        <v>1</v>
      </c>
      <c r="J76">
        <v>999</v>
      </c>
      <c r="K76">
        <v>999</v>
      </c>
      <c r="L76">
        <v>10</v>
      </c>
      <c r="M76" t="s">
        <v>85</v>
      </c>
      <c r="N76" t="s">
        <v>61</v>
      </c>
      <c r="O76" t="s">
        <v>39</v>
      </c>
      <c r="P76" t="s">
        <v>82</v>
      </c>
    </row>
    <row r="77" spans="1:16" x14ac:dyDescent="0.25">
      <c r="A77" t="s">
        <v>214</v>
      </c>
      <c r="B77" s="3">
        <v>45778</v>
      </c>
      <c r="C77" t="s">
        <v>199</v>
      </c>
      <c r="D77" t="s">
        <v>35</v>
      </c>
      <c r="E77">
        <v>32</v>
      </c>
      <c r="F77" t="s">
        <v>19</v>
      </c>
      <c r="G77" t="s">
        <v>68</v>
      </c>
      <c r="H77" t="s">
        <v>73</v>
      </c>
      <c r="I77">
        <v>5</v>
      </c>
      <c r="J77">
        <v>249</v>
      </c>
      <c r="K77">
        <v>1245</v>
      </c>
      <c r="L77">
        <v>15</v>
      </c>
      <c r="M77" t="s">
        <v>38</v>
      </c>
      <c r="N77" t="s">
        <v>23</v>
      </c>
      <c r="O77" t="s">
        <v>39</v>
      </c>
      <c r="P77" t="s">
        <v>32</v>
      </c>
    </row>
    <row r="78" spans="1:16" x14ac:dyDescent="0.25">
      <c r="A78" t="s">
        <v>215</v>
      </c>
      <c r="B78" s="3">
        <v>45686</v>
      </c>
      <c r="C78" t="s">
        <v>180</v>
      </c>
      <c r="D78" t="s">
        <v>35</v>
      </c>
      <c r="E78">
        <v>41</v>
      </c>
      <c r="F78" t="s">
        <v>28</v>
      </c>
      <c r="G78" t="s">
        <v>44</v>
      </c>
      <c r="H78" t="s">
        <v>45</v>
      </c>
      <c r="I78">
        <v>1</v>
      </c>
      <c r="J78">
        <v>599</v>
      </c>
      <c r="K78">
        <v>599</v>
      </c>
      <c r="L78">
        <v>5</v>
      </c>
      <c r="M78" t="s">
        <v>53</v>
      </c>
      <c r="N78" t="s">
        <v>61</v>
      </c>
      <c r="O78" t="s">
        <v>48</v>
      </c>
      <c r="P78" t="s">
        <v>32</v>
      </c>
    </row>
    <row r="79" spans="1:16" x14ac:dyDescent="0.25">
      <c r="A79" t="s">
        <v>216</v>
      </c>
      <c r="B79" s="3">
        <v>45853</v>
      </c>
      <c r="C79" t="s">
        <v>142</v>
      </c>
      <c r="D79" t="s">
        <v>18</v>
      </c>
      <c r="E79">
        <v>49</v>
      </c>
      <c r="F79" t="s">
        <v>124</v>
      </c>
      <c r="G79" t="s">
        <v>29</v>
      </c>
      <c r="H79" t="s">
        <v>30</v>
      </c>
      <c r="I79">
        <v>1</v>
      </c>
      <c r="J79">
        <v>1499</v>
      </c>
      <c r="K79">
        <v>1499</v>
      </c>
      <c r="L79">
        <v>5</v>
      </c>
      <c r="M79" t="s">
        <v>22</v>
      </c>
      <c r="N79" t="s">
        <v>31</v>
      </c>
      <c r="O79" t="s">
        <v>39</v>
      </c>
      <c r="P79" t="s">
        <v>70</v>
      </c>
    </row>
    <row r="80" spans="1:16" x14ac:dyDescent="0.25">
      <c r="A80" t="s">
        <v>217</v>
      </c>
      <c r="B80" s="3">
        <v>45937</v>
      </c>
      <c r="C80" t="s">
        <v>218</v>
      </c>
      <c r="D80" t="s">
        <v>18</v>
      </c>
      <c r="E80">
        <v>46</v>
      </c>
      <c r="F80" t="s">
        <v>60</v>
      </c>
      <c r="G80" t="s">
        <v>20</v>
      </c>
      <c r="H80" t="s">
        <v>120</v>
      </c>
      <c r="I80">
        <v>3</v>
      </c>
      <c r="J80">
        <v>1999</v>
      </c>
      <c r="K80">
        <v>5997</v>
      </c>
      <c r="L80">
        <v>20</v>
      </c>
      <c r="M80" t="s">
        <v>46</v>
      </c>
      <c r="N80" t="s">
        <v>61</v>
      </c>
      <c r="O80" t="s">
        <v>48</v>
      </c>
      <c r="P80" t="s">
        <v>70</v>
      </c>
    </row>
    <row r="81" spans="1:16" x14ac:dyDescent="0.25">
      <c r="A81" t="s">
        <v>219</v>
      </c>
      <c r="B81" s="3">
        <v>45905</v>
      </c>
      <c r="C81" t="s">
        <v>75</v>
      </c>
      <c r="D81" t="s">
        <v>18</v>
      </c>
      <c r="E81">
        <v>42</v>
      </c>
      <c r="F81" t="s">
        <v>60</v>
      </c>
      <c r="G81" t="s">
        <v>36</v>
      </c>
      <c r="H81" t="s">
        <v>37</v>
      </c>
      <c r="I81">
        <v>2</v>
      </c>
      <c r="J81">
        <v>799</v>
      </c>
      <c r="K81">
        <v>1598</v>
      </c>
      <c r="L81">
        <v>20</v>
      </c>
      <c r="M81" t="s">
        <v>46</v>
      </c>
      <c r="N81" t="s">
        <v>31</v>
      </c>
      <c r="O81" t="s">
        <v>24</v>
      </c>
      <c r="P81" t="s">
        <v>157</v>
      </c>
    </row>
    <row r="82" spans="1:16" x14ac:dyDescent="0.25">
      <c r="A82" t="s">
        <v>220</v>
      </c>
      <c r="B82" s="3">
        <v>45683</v>
      </c>
      <c r="C82" t="s">
        <v>221</v>
      </c>
      <c r="D82" t="s">
        <v>35</v>
      </c>
      <c r="E82">
        <v>36</v>
      </c>
      <c r="F82" t="s">
        <v>76</v>
      </c>
      <c r="G82" t="s">
        <v>44</v>
      </c>
      <c r="H82" t="s">
        <v>45</v>
      </c>
      <c r="I82">
        <v>5</v>
      </c>
      <c r="J82">
        <v>1999</v>
      </c>
      <c r="K82">
        <v>9995</v>
      </c>
      <c r="L82">
        <v>20</v>
      </c>
      <c r="M82" t="s">
        <v>46</v>
      </c>
      <c r="N82" t="s">
        <v>47</v>
      </c>
      <c r="O82" t="s">
        <v>48</v>
      </c>
      <c r="P82" t="s">
        <v>54</v>
      </c>
    </row>
    <row r="83" spans="1:16" x14ac:dyDescent="0.25">
      <c r="A83" t="s">
        <v>222</v>
      </c>
      <c r="B83" s="3">
        <v>45707</v>
      </c>
      <c r="C83" t="s">
        <v>199</v>
      </c>
      <c r="D83" t="s">
        <v>18</v>
      </c>
      <c r="E83">
        <v>37</v>
      </c>
      <c r="F83" t="s">
        <v>51</v>
      </c>
      <c r="G83" t="s">
        <v>68</v>
      </c>
      <c r="H83" t="s">
        <v>171</v>
      </c>
      <c r="I83">
        <v>2</v>
      </c>
      <c r="J83">
        <v>1999</v>
      </c>
      <c r="K83">
        <v>3998</v>
      </c>
      <c r="L83">
        <v>0</v>
      </c>
      <c r="M83" t="s">
        <v>85</v>
      </c>
      <c r="N83" t="s">
        <v>31</v>
      </c>
      <c r="O83" t="s">
        <v>48</v>
      </c>
      <c r="P83" t="s">
        <v>65</v>
      </c>
    </row>
    <row r="84" spans="1:16" x14ac:dyDescent="0.25">
      <c r="A84" t="s">
        <v>223</v>
      </c>
      <c r="B84" s="3">
        <v>45870</v>
      </c>
      <c r="C84" t="s">
        <v>224</v>
      </c>
      <c r="D84" t="s">
        <v>18</v>
      </c>
      <c r="E84">
        <v>26</v>
      </c>
      <c r="F84" t="s">
        <v>60</v>
      </c>
      <c r="G84" t="s">
        <v>20</v>
      </c>
      <c r="H84" t="s">
        <v>77</v>
      </c>
      <c r="I84">
        <v>3</v>
      </c>
      <c r="J84">
        <v>2499</v>
      </c>
      <c r="K84">
        <v>7497</v>
      </c>
      <c r="L84">
        <v>20</v>
      </c>
      <c r="M84" t="s">
        <v>85</v>
      </c>
      <c r="N84" t="s">
        <v>31</v>
      </c>
      <c r="O84" t="s">
        <v>24</v>
      </c>
      <c r="P84" t="s">
        <v>70</v>
      </c>
    </row>
    <row r="85" spans="1:16" x14ac:dyDescent="0.25">
      <c r="A85" t="s">
        <v>225</v>
      </c>
      <c r="B85" s="3">
        <v>45897</v>
      </c>
      <c r="C85" t="s">
        <v>226</v>
      </c>
      <c r="D85" t="s">
        <v>18</v>
      </c>
      <c r="E85">
        <v>32</v>
      </c>
      <c r="F85" t="s">
        <v>28</v>
      </c>
      <c r="G85" t="s">
        <v>36</v>
      </c>
      <c r="H85" t="s">
        <v>37</v>
      </c>
      <c r="I85">
        <v>3</v>
      </c>
      <c r="J85">
        <v>249</v>
      </c>
      <c r="K85">
        <v>747</v>
      </c>
      <c r="L85">
        <v>20</v>
      </c>
      <c r="M85" t="s">
        <v>46</v>
      </c>
      <c r="N85" t="s">
        <v>23</v>
      </c>
      <c r="O85" t="s">
        <v>39</v>
      </c>
      <c r="P85" t="s">
        <v>121</v>
      </c>
    </row>
    <row r="86" spans="1:16" x14ac:dyDescent="0.25">
      <c r="A86" t="s">
        <v>227</v>
      </c>
      <c r="B86" s="3">
        <v>45846</v>
      </c>
      <c r="C86" t="s">
        <v>167</v>
      </c>
      <c r="D86" t="s">
        <v>35</v>
      </c>
      <c r="E86">
        <v>55</v>
      </c>
      <c r="F86" t="s">
        <v>28</v>
      </c>
      <c r="G86" t="s">
        <v>44</v>
      </c>
      <c r="H86" t="s">
        <v>151</v>
      </c>
      <c r="I86">
        <v>1</v>
      </c>
      <c r="J86">
        <v>999</v>
      </c>
      <c r="K86">
        <v>999</v>
      </c>
      <c r="L86">
        <v>10</v>
      </c>
      <c r="M86" t="s">
        <v>38</v>
      </c>
      <c r="N86" t="s">
        <v>47</v>
      </c>
      <c r="O86" t="s">
        <v>39</v>
      </c>
      <c r="P86" t="s">
        <v>121</v>
      </c>
    </row>
    <row r="87" spans="1:16" x14ac:dyDescent="0.25">
      <c r="A87" t="s">
        <v>228</v>
      </c>
      <c r="B87" s="3">
        <v>45771</v>
      </c>
      <c r="C87" t="s">
        <v>229</v>
      </c>
      <c r="D87" t="s">
        <v>18</v>
      </c>
      <c r="E87">
        <v>58</v>
      </c>
      <c r="F87" t="s">
        <v>51</v>
      </c>
      <c r="G87" t="s">
        <v>68</v>
      </c>
      <c r="H87" t="s">
        <v>94</v>
      </c>
      <c r="I87">
        <v>3</v>
      </c>
      <c r="J87">
        <v>1499</v>
      </c>
      <c r="K87">
        <v>4497</v>
      </c>
      <c r="L87">
        <v>10</v>
      </c>
      <c r="M87" t="s">
        <v>22</v>
      </c>
      <c r="N87" t="s">
        <v>23</v>
      </c>
      <c r="O87" t="s">
        <v>24</v>
      </c>
      <c r="P87" t="s">
        <v>117</v>
      </c>
    </row>
    <row r="88" spans="1:16" x14ac:dyDescent="0.25">
      <c r="A88" t="s">
        <v>230</v>
      </c>
      <c r="B88" s="3">
        <v>45707</v>
      </c>
      <c r="C88" t="s">
        <v>202</v>
      </c>
      <c r="D88" t="s">
        <v>18</v>
      </c>
      <c r="E88">
        <v>42</v>
      </c>
      <c r="F88" t="s">
        <v>51</v>
      </c>
      <c r="G88" t="s">
        <v>20</v>
      </c>
      <c r="H88" t="s">
        <v>77</v>
      </c>
      <c r="I88">
        <v>4</v>
      </c>
      <c r="J88">
        <v>249</v>
      </c>
      <c r="K88">
        <v>996</v>
      </c>
      <c r="L88">
        <v>10</v>
      </c>
      <c r="M88" t="s">
        <v>85</v>
      </c>
      <c r="N88" t="s">
        <v>61</v>
      </c>
      <c r="O88" t="s">
        <v>48</v>
      </c>
      <c r="P88" t="s">
        <v>65</v>
      </c>
    </row>
    <row r="89" spans="1:16" x14ac:dyDescent="0.25">
      <c r="A89" t="s">
        <v>231</v>
      </c>
      <c r="B89" s="3">
        <v>45866</v>
      </c>
      <c r="C89" t="s">
        <v>150</v>
      </c>
      <c r="D89" t="s">
        <v>18</v>
      </c>
      <c r="E89">
        <v>41</v>
      </c>
      <c r="F89" t="s">
        <v>76</v>
      </c>
      <c r="G89" t="s">
        <v>36</v>
      </c>
      <c r="H89" t="s">
        <v>156</v>
      </c>
      <c r="I89">
        <v>4</v>
      </c>
      <c r="J89">
        <v>1499</v>
      </c>
      <c r="K89">
        <v>5996</v>
      </c>
      <c r="L89">
        <v>15</v>
      </c>
      <c r="M89" t="s">
        <v>22</v>
      </c>
      <c r="N89" t="s">
        <v>47</v>
      </c>
      <c r="O89" t="s">
        <v>39</v>
      </c>
      <c r="P89" t="s">
        <v>203</v>
      </c>
    </row>
    <row r="90" spans="1:16" x14ac:dyDescent="0.25">
      <c r="A90" t="s">
        <v>232</v>
      </c>
      <c r="B90" s="3">
        <v>45861</v>
      </c>
      <c r="C90" t="s">
        <v>150</v>
      </c>
      <c r="D90" t="s">
        <v>18</v>
      </c>
      <c r="E90">
        <v>25</v>
      </c>
      <c r="F90" t="s">
        <v>51</v>
      </c>
      <c r="G90" t="s">
        <v>44</v>
      </c>
      <c r="H90" t="s">
        <v>151</v>
      </c>
      <c r="I90">
        <v>3</v>
      </c>
      <c r="J90">
        <v>199</v>
      </c>
      <c r="K90">
        <v>597</v>
      </c>
      <c r="L90">
        <v>0</v>
      </c>
      <c r="M90" t="s">
        <v>53</v>
      </c>
      <c r="N90" t="s">
        <v>23</v>
      </c>
      <c r="O90" t="s">
        <v>24</v>
      </c>
      <c r="P90" t="s">
        <v>57</v>
      </c>
    </row>
    <row r="91" spans="1:16" x14ac:dyDescent="0.25">
      <c r="A91" t="s">
        <v>233</v>
      </c>
      <c r="B91" s="3">
        <v>45693</v>
      </c>
      <c r="C91" t="s">
        <v>34</v>
      </c>
      <c r="D91" t="s">
        <v>18</v>
      </c>
      <c r="E91">
        <v>55</v>
      </c>
      <c r="F91" t="s">
        <v>76</v>
      </c>
      <c r="G91" t="s">
        <v>29</v>
      </c>
      <c r="H91" t="s">
        <v>30</v>
      </c>
      <c r="I91">
        <v>5</v>
      </c>
      <c r="J91">
        <v>399</v>
      </c>
      <c r="K91">
        <v>1995</v>
      </c>
      <c r="L91">
        <v>5</v>
      </c>
      <c r="M91" t="s">
        <v>46</v>
      </c>
      <c r="N91" t="s">
        <v>47</v>
      </c>
      <c r="O91" t="s">
        <v>48</v>
      </c>
      <c r="P91" t="s">
        <v>121</v>
      </c>
    </row>
    <row r="92" spans="1:16" x14ac:dyDescent="0.25">
      <c r="A92" t="s">
        <v>234</v>
      </c>
      <c r="B92" s="3">
        <v>45786</v>
      </c>
      <c r="C92" t="s">
        <v>224</v>
      </c>
      <c r="D92" t="s">
        <v>18</v>
      </c>
      <c r="E92">
        <v>60</v>
      </c>
      <c r="F92" t="s">
        <v>98</v>
      </c>
      <c r="G92" t="s">
        <v>44</v>
      </c>
      <c r="H92" t="s">
        <v>235</v>
      </c>
      <c r="I92">
        <v>2</v>
      </c>
      <c r="J92">
        <v>1299</v>
      </c>
      <c r="K92">
        <v>2598</v>
      </c>
      <c r="L92">
        <v>5</v>
      </c>
      <c r="M92" t="s">
        <v>38</v>
      </c>
      <c r="N92" t="s">
        <v>31</v>
      </c>
      <c r="O92" t="s">
        <v>24</v>
      </c>
      <c r="P92" t="s">
        <v>193</v>
      </c>
    </row>
    <row r="93" spans="1:16" x14ac:dyDescent="0.25">
      <c r="A93" t="s">
        <v>236</v>
      </c>
      <c r="B93" s="3">
        <v>45684</v>
      </c>
      <c r="C93" t="s">
        <v>237</v>
      </c>
      <c r="D93" t="s">
        <v>35</v>
      </c>
      <c r="E93">
        <v>51</v>
      </c>
      <c r="F93" t="s">
        <v>19</v>
      </c>
      <c r="G93" t="s">
        <v>44</v>
      </c>
      <c r="H93" t="s">
        <v>45</v>
      </c>
      <c r="I93">
        <v>2</v>
      </c>
      <c r="J93">
        <v>499</v>
      </c>
      <c r="K93">
        <v>998</v>
      </c>
      <c r="L93">
        <v>0</v>
      </c>
      <c r="M93" t="s">
        <v>22</v>
      </c>
      <c r="N93" t="s">
        <v>61</v>
      </c>
      <c r="O93" t="s">
        <v>39</v>
      </c>
      <c r="P93" t="s">
        <v>78</v>
      </c>
    </row>
    <row r="94" spans="1:16" x14ac:dyDescent="0.25">
      <c r="A94" t="s">
        <v>238</v>
      </c>
      <c r="B94" s="3">
        <v>45771</v>
      </c>
      <c r="C94" t="s">
        <v>239</v>
      </c>
      <c r="D94" t="s">
        <v>18</v>
      </c>
      <c r="E94">
        <v>60</v>
      </c>
      <c r="F94" t="s">
        <v>43</v>
      </c>
      <c r="G94" t="s">
        <v>68</v>
      </c>
      <c r="H94" t="s">
        <v>73</v>
      </c>
      <c r="I94">
        <v>4</v>
      </c>
      <c r="J94">
        <v>1299</v>
      </c>
      <c r="K94">
        <v>5196</v>
      </c>
      <c r="L94">
        <v>15</v>
      </c>
      <c r="M94" t="s">
        <v>38</v>
      </c>
      <c r="N94" t="s">
        <v>23</v>
      </c>
      <c r="O94" t="s">
        <v>39</v>
      </c>
      <c r="P94" t="s">
        <v>157</v>
      </c>
    </row>
    <row r="95" spans="1:16" x14ac:dyDescent="0.25">
      <c r="A95" t="s">
        <v>240</v>
      </c>
      <c r="B95" s="3">
        <v>45885</v>
      </c>
      <c r="C95" t="s">
        <v>226</v>
      </c>
      <c r="D95" t="s">
        <v>18</v>
      </c>
      <c r="E95">
        <v>38</v>
      </c>
      <c r="F95" t="s">
        <v>124</v>
      </c>
      <c r="G95" t="s">
        <v>36</v>
      </c>
      <c r="H95" t="s">
        <v>156</v>
      </c>
      <c r="I95">
        <v>4</v>
      </c>
      <c r="J95">
        <v>2499</v>
      </c>
      <c r="K95">
        <v>9996</v>
      </c>
      <c r="L95">
        <v>0</v>
      </c>
      <c r="M95" t="s">
        <v>53</v>
      </c>
      <c r="N95" t="s">
        <v>31</v>
      </c>
      <c r="O95" t="s">
        <v>48</v>
      </c>
      <c r="P95" t="s">
        <v>193</v>
      </c>
    </row>
    <row r="96" spans="1:16" x14ac:dyDescent="0.25">
      <c r="A96" t="s">
        <v>241</v>
      </c>
      <c r="B96" s="3">
        <v>45929</v>
      </c>
      <c r="C96" t="s">
        <v>180</v>
      </c>
      <c r="D96" t="s">
        <v>35</v>
      </c>
      <c r="E96">
        <v>50</v>
      </c>
      <c r="F96" t="s">
        <v>28</v>
      </c>
      <c r="G96" t="s">
        <v>68</v>
      </c>
      <c r="H96" t="s">
        <v>171</v>
      </c>
      <c r="I96">
        <v>4</v>
      </c>
      <c r="J96">
        <v>1499</v>
      </c>
      <c r="K96">
        <v>5996</v>
      </c>
      <c r="L96">
        <v>0</v>
      </c>
      <c r="M96" t="s">
        <v>38</v>
      </c>
      <c r="N96" t="s">
        <v>47</v>
      </c>
      <c r="O96" t="s">
        <v>39</v>
      </c>
      <c r="P96" t="s">
        <v>62</v>
      </c>
    </row>
    <row r="97" spans="1:16" x14ac:dyDescent="0.25">
      <c r="A97" t="s">
        <v>242</v>
      </c>
      <c r="B97" s="3">
        <v>45862</v>
      </c>
      <c r="C97" t="s">
        <v>243</v>
      </c>
      <c r="D97" t="s">
        <v>18</v>
      </c>
      <c r="E97">
        <v>38</v>
      </c>
      <c r="F97" t="s">
        <v>28</v>
      </c>
      <c r="G97" t="s">
        <v>29</v>
      </c>
      <c r="H97" t="s">
        <v>140</v>
      </c>
      <c r="I97">
        <v>3</v>
      </c>
      <c r="J97">
        <v>999</v>
      </c>
      <c r="K97">
        <v>2997</v>
      </c>
      <c r="L97">
        <v>10</v>
      </c>
      <c r="M97" t="s">
        <v>46</v>
      </c>
      <c r="N97" t="s">
        <v>31</v>
      </c>
      <c r="O97" t="s">
        <v>24</v>
      </c>
      <c r="P97" t="s">
        <v>82</v>
      </c>
    </row>
    <row r="98" spans="1:16" x14ac:dyDescent="0.25">
      <c r="A98" t="s">
        <v>244</v>
      </c>
      <c r="B98" s="3">
        <v>45879</v>
      </c>
      <c r="C98" t="s">
        <v>50</v>
      </c>
      <c r="D98" t="s">
        <v>35</v>
      </c>
      <c r="E98">
        <v>26</v>
      </c>
      <c r="F98" t="s">
        <v>98</v>
      </c>
      <c r="G98" t="s">
        <v>20</v>
      </c>
      <c r="H98" t="s">
        <v>21</v>
      </c>
      <c r="I98">
        <v>1</v>
      </c>
      <c r="J98">
        <v>249</v>
      </c>
      <c r="K98">
        <v>249</v>
      </c>
      <c r="L98">
        <v>20</v>
      </c>
      <c r="M98" t="s">
        <v>85</v>
      </c>
      <c r="N98" t="s">
        <v>31</v>
      </c>
      <c r="O98" t="s">
        <v>48</v>
      </c>
      <c r="P98" t="s">
        <v>203</v>
      </c>
    </row>
    <row r="99" spans="1:16" x14ac:dyDescent="0.25">
      <c r="A99" t="s">
        <v>245</v>
      </c>
      <c r="B99" s="3">
        <v>45684</v>
      </c>
      <c r="C99" t="s">
        <v>116</v>
      </c>
      <c r="D99" t="s">
        <v>35</v>
      </c>
      <c r="E99">
        <v>40</v>
      </c>
      <c r="F99" t="s">
        <v>19</v>
      </c>
      <c r="G99" t="s">
        <v>36</v>
      </c>
      <c r="H99" t="s">
        <v>37</v>
      </c>
      <c r="I99">
        <v>4</v>
      </c>
      <c r="J99">
        <v>2499</v>
      </c>
      <c r="K99">
        <v>9996</v>
      </c>
      <c r="L99">
        <v>20</v>
      </c>
      <c r="M99" t="s">
        <v>85</v>
      </c>
      <c r="N99" t="s">
        <v>47</v>
      </c>
      <c r="O99" t="s">
        <v>24</v>
      </c>
      <c r="P99" t="s">
        <v>82</v>
      </c>
    </row>
    <row r="100" spans="1:16" x14ac:dyDescent="0.25">
      <c r="A100" t="s">
        <v>246</v>
      </c>
      <c r="B100" s="3">
        <v>45846</v>
      </c>
      <c r="C100" t="s">
        <v>80</v>
      </c>
      <c r="D100" t="s">
        <v>35</v>
      </c>
      <c r="E100">
        <v>54</v>
      </c>
      <c r="F100" t="s">
        <v>76</v>
      </c>
      <c r="G100" t="s">
        <v>29</v>
      </c>
      <c r="H100" t="s">
        <v>108</v>
      </c>
      <c r="I100">
        <v>3</v>
      </c>
      <c r="J100">
        <v>1299</v>
      </c>
      <c r="K100">
        <v>3897</v>
      </c>
      <c r="L100">
        <v>15</v>
      </c>
      <c r="M100" t="s">
        <v>85</v>
      </c>
      <c r="N100" t="s">
        <v>23</v>
      </c>
      <c r="O100" t="s">
        <v>48</v>
      </c>
      <c r="P100" t="s">
        <v>70</v>
      </c>
    </row>
    <row r="101" spans="1:16" x14ac:dyDescent="0.25">
      <c r="A101" t="s">
        <v>247</v>
      </c>
      <c r="B101" s="3">
        <v>45816</v>
      </c>
      <c r="C101" t="s">
        <v>213</v>
      </c>
      <c r="D101" t="s">
        <v>35</v>
      </c>
      <c r="E101">
        <v>18</v>
      </c>
      <c r="F101" t="s">
        <v>124</v>
      </c>
      <c r="G101" t="s">
        <v>20</v>
      </c>
      <c r="H101" t="s">
        <v>52</v>
      </c>
      <c r="I101">
        <v>3</v>
      </c>
      <c r="J101">
        <v>2499</v>
      </c>
      <c r="K101">
        <v>7497</v>
      </c>
      <c r="L101">
        <v>5</v>
      </c>
      <c r="M101" t="s">
        <v>85</v>
      </c>
      <c r="N101" t="s">
        <v>61</v>
      </c>
      <c r="O101" t="s">
        <v>24</v>
      </c>
      <c r="P101" t="s">
        <v>65</v>
      </c>
    </row>
    <row r="102" spans="1:16" x14ac:dyDescent="0.25">
      <c r="A102" t="s">
        <v>248</v>
      </c>
      <c r="B102" s="3">
        <v>45850</v>
      </c>
      <c r="C102" t="s">
        <v>243</v>
      </c>
      <c r="D102" t="s">
        <v>35</v>
      </c>
      <c r="E102">
        <v>39</v>
      </c>
      <c r="F102" t="s">
        <v>124</v>
      </c>
      <c r="G102" t="s">
        <v>20</v>
      </c>
      <c r="H102" t="s">
        <v>21</v>
      </c>
      <c r="I102">
        <v>5</v>
      </c>
      <c r="J102">
        <v>399</v>
      </c>
      <c r="K102">
        <v>1995</v>
      </c>
      <c r="L102">
        <v>10</v>
      </c>
      <c r="M102" t="s">
        <v>46</v>
      </c>
      <c r="N102" t="s">
        <v>31</v>
      </c>
      <c r="O102" t="s">
        <v>48</v>
      </c>
      <c r="P102" t="s">
        <v>40</v>
      </c>
    </row>
    <row r="103" spans="1:16" x14ac:dyDescent="0.25">
      <c r="A103" t="s">
        <v>249</v>
      </c>
      <c r="B103" s="3">
        <v>45974</v>
      </c>
      <c r="C103" t="s">
        <v>250</v>
      </c>
      <c r="D103" t="s">
        <v>18</v>
      </c>
      <c r="E103">
        <v>35</v>
      </c>
      <c r="F103" t="s">
        <v>51</v>
      </c>
      <c r="G103" t="s">
        <v>20</v>
      </c>
      <c r="H103" t="s">
        <v>21</v>
      </c>
      <c r="I103">
        <v>2</v>
      </c>
      <c r="J103">
        <v>299</v>
      </c>
      <c r="K103">
        <v>598</v>
      </c>
      <c r="L103">
        <v>15</v>
      </c>
      <c r="M103" t="s">
        <v>22</v>
      </c>
      <c r="N103" t="s">
        <v>61</v>
      </c>
      <c r="O103" t="s">
        <v>39</v>
      </c>
      <c r="P103" t="s">
        <v>70</v>
      </c>
    </row>
    <row r="104" spans="1:16" x14ac:dyDescent="0.25">
      <c r="A104" t="s">
        <v>251</v>
      </c>
      <c r="B104" s="3">
        <v>45878</v>
      </c>
      <c r="C104" t="s">
        <v>80</v>
      </c>
      <c r="D104" t="s">
        <v>35</v>
      </c>
      <c r="E104">
        <v>55</v>
      </c>
      <c r="F104" t="s">
        <v>51</v>
      </c>
      <c r="G104" t="s">
        <v>29</v>
      </c>
      <c r="H104" t="s">
        <v>200</v>
      </c>
      <c r="I104">
        <v>1</v>
      </c>
      <c r="J104">
        <v>599</v>
      </c>
      <c r="K104">
        <v>599</v>
      </c>
      <c r="L104">
        <v>20</v>
      </c>
      <c r="M104" t="s">
        <v>46</v>
      </c>
      <c r="N104" t="s">
        <v>23</v>
      </c>
      <c r="O104" t="s">
        <v>24</v>
      </c>
      <c r="P104" t="s">
        <v>157</v>
      </c>
    </row>
    <row r="105" spans="1:16" x14ac:dyDescent="0.25">
      <c r="A105" t="s">
        <v>252</v>
      </c>
      <c r="B105" s="3">
        <v>45812</v>
      </c>
      <c r="C105" t="s">
        <v>253</v>
      </c>
      <c r="D105" t="s">
        <v>18</v>
      </c>
      <c r="E105">
        <v>34</v>
      </c>
      <c r="F105" t="s">
        <v>43</v>
      </c>
      <c r="G105" t="s">
        <v>68</v>
      </c>
      <c r="H105" t="s">
        <v>73</v>
      </c>
      <c r="I105">
        <v>1</v>
      </c>
      <c r="J105">
        <v>399</v>
      </c>
      <c r="K105">
        <v>399</v>
      </c>
      <c r="L105">
        <v>10</v>
      </c>
      <c r="M105" t="s">
        <v>38</v>
      </c>
      <c r="N105" t="s">
        <v>23</v>
      </c>
      <c r="O105" t="s">
        <v>39</v>
      </c>
      <c r="P105" t="s">
        <v>134</v>
      </c>
    </row>
    <row r="106" spans="1:16" x14ac:dyDescent="0.25">
      <c r="A106" t="s">
        <v>254</v>
      </c>
      <c r="B106" s="3">
        <v>46018</v>
      </c>
      <c r="C106" t="s">
        <v>255</v>
      </c>
      <c r="D106" t="s">
        <v>35</v>
      </c>
      <c r="E106">
        <v>22</v>
      </c>
      <c r="F106" t="s">
        <v>28</v>
      </c>
      <c r="G106" t="s">
        <v>29</v>
      </c>
      <c r="H106" t="s">
        <v>30</v>
      </c>
      <c r="I106">
        <v>4</v>
      </c>
      <c r="J106">
        <v>1299</v>
      </c>
      <c r="K106">
        <v>5196</v>
      </c>
      <c r="L106">
        <v>0</v>
      </c>
      <c r="M106" t="s">
        <v>22</v>
      </c>
      <c r="N106" t="s">
        <v>23</v>
      </c>
      <c r="O106" t="s">
        <v>39</v>
      </c>
      <c r="P106" t="s">
        <v>25</v>
      </c>
    </row>
    <row r="107" spans="1:16" x14ac:dyDescent="0.25">
      <c r="A107" t="s">
        <v>256</v>
      </c>
      <c r="B107" s="3">
        <v>45865</v>
      </c>
      <c r="C107" t="s">
        <v>257</v>
      </c>
      <c r="D107" t="s">
        <v>35</v>
      </c>
      <c r="E107">
        <v>36</v>
      </c>
      <c r="F107" t="s">
        <v>19</v>
      </c>
      <c r="G107" t="s">
        <v>44</v>
      </c>
      <c r="H107" t="s">
        <v>151</v>
      </c>
      <c r="I107">
        <v>4</v>
      </c>
      <c r="J107">
        <v>1499</v>
      </c>
      <c r="K107">
        <v>5996</v>
      </c>
      <c r="L107">
        <v>15</v>
      </c>
      <c r="M107" t="s">
        <v>38</v>
      </c>
      <c r="N107" t="s">
        <v>31</v>
      </c>
      <c r="O107" t="s">
        <v>24</v>
      </c>
      <c r="P107" t="s">
        <v>40</v>
      </c>
    </row>
    <row r="108" spans="1:16" x14ac:dyDescent="0.25">
      <c r="A108" t="s">
        <v>258</v>
      </c>
      <c r="B108" s="3">
        <v>45712</v>
      </c>
      <c r="C108" t="s">
        <v>259</v>
      </c>
      <c r="D108" t="s">
        <v>35</v>
      </c>
      <c r="E108">
        <v>55</v>
      </c>
      <c r="F108" t="s">
        <v>28</v>
      </c>
      <c r="G108" t="s">
        <v>36</v>
      </c>
      <c r="H108" t="s">
        <v>37</v>
      </c>
      <c r="I108">
        <v>1</v>
      </c>
      <c r="J108">
        <v>799</v>
      </c>
      <c r="K108">
        <v>799</v>
      </c>
      <c r="L108">
        <v>20</v>
      </c>
      <c r="M108" t="s">
        <v>38</v>
      </c>
      <c r="N108" t="s">
        <v>61</v>
      </c>
      <c r="O108" t="s">
        <v>39</v>
      </c>
      <c r="P108" t="s">
        <v>57</v>
      </c>
    </row>
    <row r="109" spans="1:16" x14ac:dyDescent="0.25">
      <c r="A109" t="s">
        <v>260</v>
      </c>
      <c r="B109" s="3">
        <v>45919</v>
      </c>
      <c r="C109" t="s">
        <v>261</v>
      </c>
      <c r="D109" t="s">
        <v>18</v>
      </c>
      <c r="E109">
        <v>51</v>
      </c>
      <c r="F109" t="s">
        <v>76</v>
      </c>
      <c r="G109" t="s">
        <v>29</v>
      </c>
      <c r="H109" t="s">
        <v>64</v>
      </c>
      <c r="I109">
        <v>2</v>
      </c>
      <c r="J109">
        <v>249</v>
      </c>
      <c r="K109">
        <v>498</v>
      </c>
      <c r="L109">
        <v>10</v>
      </c>
      <c r="M109" t="s">
        <v>46</v>
      </c>
      <c r="N109" t="s">
        <v>47</v>
      </c>
      <c r="O109" t="s">
        <v>24</v>
      </c>
      <c r="P109" t="s">
        <v>203</v>
      </c>
    </row>
    <row r="110" spans="1:16" x14ac:dyDescent="0.25">
      <c r="A110" t="s">
        <v>262</v>
      </c>
      <c r="B110" s="3">
        <v>45966</v>
      </c>
      <c r="C110" t="s">
        <v>67</v>
      </c>
      <c r="D110" t="s">
        <v>18</v>
      </c>
      <c r="E110">
        <v>29</v>
      </c>
      <c r="F110" t="s">
        <v>51</v>
      </c>
      <c r="G110" t="s">
        <v>29</v>
      </c>
      <c r="H110" t="s">
        <v>64</v>
      </c>
      <c r="I110">
        <v>2</v>
      </c>
      <c r="J110">
        <v>299</v>
      </c>
      <c r="K110">
        <v>598</v>
      </c>
      <c r="L110">
        <v>15</v>
      </c>
      <c r="M110" t="s">
        <v>85</v>
      </c>
      <c r="N110" t="s">
        <v>61</v>
      </c>
      <c r="O110" t="s">
        <v>48</v>
      </c>
      <c r="P110" t="s">
        <v>193</v>
      </c>
    </row>
    <row r="111" spans="1:16" x14ac:dyDescent="0.25">
      <c r="A111" t="s">
        <v>263</v>
      </c>
      <c r="B111" s="3">
        <v>45883</v>
      </c>
      <c r="C111" t="s">
        <v>107</v>
      </c>
      <c r="D111" t="s">
        <v>35</v>
      </c>
      <c r="E111">
        <v>46</v>
      </c>
      <c r="F111" t="s">
        <v>43</v>
      </c>
      <c r="G111" t="s">
        <v>68</v>
      </c>
      <c r="H111" t="s">
        <v>171</v>
      </c>
      <c r="I111">
        <v>3</v>
      </c>
      <c r="J111">
        <v>299</v>
      </c>
      <c r="K111">
        <v>897</v>
      </c>
      <c r="L111">
        <v>10</v>
      </c>
      <c r="M111" t="s">
        <v>85</v>
      </c>
      <c r="N111" t="s">
        <v>23</v>
      </c>
      <c r="O111" t="s">
        <v>39</v>
      </c>
      <c r="P111" t="s">
        <v>78</v>
      </c>
    </row>
    <row r="112" spans="1:16" x14ac:dyDescent="0.25">
      <c r="A112" t="s">
        <v>264</v>
      </c>
      <c r="B112" s="3">
        <v>45677</v>
      </c>
      <c r="C112" t="s">
        <v>105</v>
      </c>
      <c r="D112" t="s">
        <v>35</v>
      </c>
      <c r="E112">
        <v>36</v>
      </c>
      <c r="F112" t="s">
        <v>19</v>
      </c>
      <c r="G112" t="s">
        <v>20</v>
      </c>
      <c r="H112" t="s">
        <v>77</v>
      </c>
      <c r="I112">
        <v>4</v>
      </c>
      <c r="J112">
        <v>999</v>
      </c>
      <c r="K112">
        <v>3996</v>
      </c>
      <c r="L112">
        <v>0</v>
      </c>
      <c r="M112" t="s">
        <v>85</v>
      </c>
      <c r="N112" t="s">
        <v>61</v>
      </c>
      <c r="O112" t="s">
        <v>39</v>
      </c>
      <c r="P112" t="s">
        <v>193</v>
      </c>
    </row>
    <row r="113" spans="1:16" x14ac:dyDescent="0.25">
      <c r="A113" t="s">
        <v>265</v>
      </c>
      <c r="B113" s="3">
        <v>45991</v>
      </c>
      <c r="C113" t="s">
        <v>266</v>
      </c>
      <c r="D113" t="s">
        <v>35</v>
      </c>
      <c r="E113">
        <v>56</v>
      </c>
      <c r="F113" t="s">
        <v>51</v>
      </c>
      <c r="G113" t="s">
        <v>267</v>
      </c>
      <c r="H113" t="s">
        <v>73</v>
      </c>
      <c r="I113">
        <v>4</v>
      </c>
      <c r="J113">
        <v>1499</v>
      </c>
      <c r="K113">
        <v>5996</v>
      </c>
      <c r="L113">
        <v>20</v>
      </c>
      <c r="M113" t="s">
        <v>53</v>
      </c>
      <c r="N113" t="s">
        <v>23</v>
      </c>
      <c r="O113" t="s">
        <v>39</v>
      </c>
      <c r="P113" t="s">
        <v>203</v>
      </c>
    </row>
    <row r="114" spans="1:16" x14ac:dyDescent="0.25">
      <c r="A114" t="s">
        <v>268</v>
      </c>
      <c r="B114" s="3">
        <v>45746</v>
      </c>
      <c r="C114" t="s">
        <v>192</v>
      </c>
      <c r="D114" t="s">
        <v>18</v>
      </c>
      <c r="E114">
        <v>46</v>
      </c>
      <c r="F114" t="s">
        <v>51</v>
      </c>
      <c r="G114" t="s">
        <v>44</v>
      </c>
      <c r="H114" t="s">
        <v>45</v>
      </c>
      <c r="I114">
        <v>5</v>
      </c>
      <c r="J114">
        <v>1999</v>
      </c>
      <c r="K114">
        <v>9995</v>
      </c>
      <c r="L114">
        <v>20</v>
      </c>
      <c r="M114" t="s">
        <v>85</v>
      </c>
      <c r="N114" t="s">
        <v>47</v>
      </c>
      <c r="O114" t="s">
        <v>39</v>
      </c>
      <c r="P114" t="s">
        <v>125</v>
      </c>
    </row>
    <row r="115" spans="1:16" x14ac:dyDescent="0.25">
      <c r="A115" t="s">
        <v>269</v>
      </c>
      <c r="B115" s="3">
        <v>46005</v>
      </c>
      <c r="C115" t="s">
        <v>270</v>
      </c>
      <c r="D115" t="s">
        <v>18</v>
      </c>
      <c r="E115">
        <v>58</v>
      </c>
      <c r="F115" t="s">
        <v>60</v>
      </c>
      <c r="G115" t="s">
        <v>44</v>
      </c>
      <c r="H115" t="s">
        <v>99</v>
      </c>
      <c r="I115">
        <v>4</v>
      </c>
      <c r="J115">
        <v>599</v>
      </c>
      <c r="K115">
        <v>2396</v>
      </c>
      <c r="L115">
        <v>0</v>
      </c>
      <c r="M115" t="s">
        <v>46</v>
      </c>
      <c r="N115" t="s">
        <v>23</v>
      </c>
      <c r="O115" t="s">
        <v>48</v>
      </c>
      <c r="P115" t="s">
        <v>157</v>
      </c>
    </row>
    <row r="116" spans="1:16" x14ac:dyDescent="0.25">
      <c r="A116" t="s">
        <v>271</v>
      </c>
      <c r="B116" s="3">
        <v>45828</v>
      </c>
      <c r="C116" t="s">
        <v>272</v>
      </c>
      <c r="D116" t="s">
        <v>18</v>
      </c>
      <c r="E116">
        <v>40</v>
      </c>
      <c r="F116" t="s">
        <v>43</v>
      </c>
      <c r="G116" t="s">
        <v>44</v>
      </c>
      <c r="H116" t="s">
        <v>177</v>
      </c>
      <c r="I116">
        <v>5</v>
      </c>
      <c r="J116">
        <v>299</v>
      </c>
      <c r="K116">
        <v>1495</v>
      </c>
      <c r="L116">
        <v>15</v>
      </c>
      <c r="M116" t="s">
        <v>53</v>
      </c>
      <c r="N116" t="s">
        <v>23</v>
      </c>
      <c r="O116" t="s">
        <v>39</v>
      </c>
      <c r="P116" t="s">
        <v>103</v>
      </c>
    </row>
    <row r="117" spans="1:16" x14ac:dyDescent="0.25">
      <c r="A117" t="s">
        <v>273</v>
      </c>
      <c r="B117" s="3">
        <v>46017</v>
      </c>
      <c r="C117" t="s">
        <v>274</v>
      </c>
      <c r="D117" t="s">
        <v>18</v>
      </c>
      <c r="E117">
        <v>59</v>
      </c>
      <c r="F117" t="s">
        <v>28</v>
      </c>
      <c r="G117" t="s">
        <v>36</v>
      </c>
      <c r="H117" t="s">
        <v>37</v>
      </c>
      <c r="I117">
        <v>2</v>
      </c>
      <c r="J117">
        <v>1999</v>
      </c>
      <c r="K117">
        <v>3998</v>
      </c>
      <c r="L117">
        <v>20</v>
      </c>
      <c r="M117" t="s">
        <v>46</v>
      </c>
      <c r="N117" t="s">
        <v>23</v>
      </c>
      <c r="O117" t="s">
        <v>39</v>
      </c>
      <c r="P117" t="s">
        <v>86</v>
      </c>
    </row>
    <row r="118" spans="1:16" x14ac:dyDescent="0.25">
      <c r="A118" t="s">
        <v>275</v>
      </c>
      <c r="B118" s="3">
        <v>45756</v>
      </c>
      <c r="C118" t="s">
        <v>276</v>
      </c>
      <c r="D118" t="s">
        <v>18</v>
      </c>
      <c r="E118">
        <v>27</v>
      </c>
      <c r="F118" t="s">
        <v>19</v>
      </c>
      <c r="G118" t="s">
        <v>29</v>
      </c>
      <c r="H118" t="s">
        <v>30</v>
      </c>
      <c r="I118">
        <v>3</v>
      </c>
      <c r="J118">
        <v>999</v>
      </c>
      <c r="K118">
        <v>2997</v>
      </c>
      <c r="L118">
        <v>10</v>
      </c>
      <c r="M118" t="s">
        <v>38</v>
      </c>
      <c r="N118" t="s">
        <v>23</v>
      </c>
      <c r="O118" t="s">
        <v>48</v>
      </c>
      <c r="P118" t="s">
        <v>57</v>
      </c>
    </row>
    <row r="119" spans="1:16" x14ac:dyDescent="0.25">
      <c r="A119" t="s">
        <v>277</v>
      </c>
      <c r="B119" s="3">
        <v>45736</v>
      </c>
      <c r="C119" t="s">
        <v>218</v>
      </c>
      <c r="D119" t="s">
        <v>18</v>
      </c>
      <c r="E119">
        <v>57</v>
      </c>
      <c r="F119" t="s">
        <v>124</v>
      </c>
      <c r="G119" t="s">
        <v>68</v>
      </c>
      <c r="H119" t="s">
        <v>137</v>
      </c>
      <c r="I119">
        <v>5</v>
      </c>
      <c r="J119">
        <v>799</v>
      </c>
      <c r="K119">
        <v>3995</v>
      </c>
      <c r="L119">
        <v>15</v>
      </c>
      <c r="M119" t="s">
        <v>38</v>
      </c>
      <c r="N119" t="s">
        <v>61</v>
      </c>
      <c r="O119" t="s">
        <v>39</v>
      </c>
      <c r="P119" t="s">
        <v>89</v>
      </c>
    </row>
    <row r="120" spans="1:16" x14ac:dyDescent="0.25">
      <c r="A120" t="s">
        <v>278</v>
      </c>
      <c r="B120" s="3">
        <v>45887</v>
      </c>
      <c r="C120" t="s">
        <v>255</v>
      </c>
      <c r="D120" t="s">
        <v>18</v>
      </c>
      <c r="E120">
        <v>37</v>
      </c>
      <c r="F120" t="s">
        <v>51</v>
      </c>
      <c r="G120" t="s">
        <v>36</v>
      </c>
      <c r="H120" t="s">
        <v>133</v>
      </c>
      <c r="I120">
        <v>3</v>
      </c>
      <c r="J120">
        <v>2499</v>
      </c>
      <c r="K120">
        <v>7497</v>
      </c>
      <c r="L120">
        <v>5</v>
      </c>
      <c r="M120" t="s">
        <v>46</v>
      </c>
      <c r="N120" t="s">
        <v>61</v>
      </c>
      <c r="O120" t="s">
        <v>39</v>
      </c>
      <c r="P120" t="s">
        <v>86</v>
      </c>
    </row>
    <row r="121" spans="1:16" x14ac:dyDescent="0.25">
      <c r="A121" t="s">
        <v>279</v>
      </c>
      <c r="B121" s="3">
        <v>45740</v>
      </c>
      <c r="C121" t="s">
        <v>280</v>
      </c>
      <c r="D121" t="s">
        <v>18</v>
      </c>
      <c r="E121">
        <v>34</v>
      </c>
      <c r="F121" t="s">
        <v>98</v>
      </c>
      <c r="G121" t="s">
        <v>36</v>
      </c>
      <c r="H121" t="s">
        <v>133</v>
      </c>
      <c r="I121">
        <v>5</v>
      </c>
      <c r="J121">
        <v>799</v>
      </c>
      <c r="K121">
        <v>3995</v>
      </c>
      <c r="L121">
        <v>15</v>
      </c>
      <c r="M121" t="s">
        <v>46</v>
      </c>
      <c r="N121" t="s">
        <v>23</v>
      </c>
      <c r="O121" t="s">
        <v>48</v>
      </c>
      <c r="P121" t="s">
        <v>78</v>
      </c>
    </row>
    <row r="122" spans="1:16" x14ac:dyDescent="0.25">
      <c r="A122" t="s">
        <v>281</v>
      </c>
      <c r="B122" s="3">
        <v>45797</v>
      </c>
      <c r="C122" t="s">
        <v>186</v>
      </c>
      <c r="D122" t="s">
        <v>18</v>
      </c>
      <c r="E122">
        <v>45</v>
      </c>
      <c r="F122" t="s">
        <v>19</v>
      </c>
      <c r="G122" t="s">
        <v>20</v>
      </c>
      <c r="H122" t="s">
        <v>77</v>
      </c>
      <c r="I122">
        <v>1</v>
      </c>
      <c r="J122">
        <v>299</v>
      </c>
      <c r="K122">
        <v>299</v>
      </c>
      <c r="L122">
        <v>5</v>
      </c>
      <c r="M122" t="s">
        <v>22</v>
      </c>
      <c r="N122" t="s">
        <v>31</v>
      </c>
      <c r="O122" t="s">
        <v>24</v>
      </c>
      <c r="P122" t="s">
        <v>134</v>
      </c>
    </row>
    <row r="123" spans="1:16" x14ac:dyDescent="0.25">
      <c r="A123" t="s">
        <v>282</v>
      </c>
      <c r="B123" s="3">
        <v>45778</v>
      </c>
      <c r="C123" t="s">
        <v>283</v>
      </c>
      <c r="D123" t="s">
        <v>18</v>
      </c>
      <c r="E123">
        <v>41</v>
      </c>
      <c r="F123" t="s">
        <v>76</v>
      </c>
      <c r="G123" t="s">
        <v>20</v>
      </c>
      <c r="H123" t="s">
        <v>120</v>
      </c>
      <c r="I123">
        <v>5</v>
      </c>
      <c r="J123">
        <v>599</v>
      </c>
      <c r="K123">
        <v>2995</v>
      </c>
      <c r="L123">
        <v>0</v>
      </c>
      <c r="M123" t="s">
        <v>46</v>
      </c>
      <c r="N123" t="s">
        <v>23</v>
      </c>
      <c r="O123" t="s">
        <v>48</v>
      </c>
      <c r="P123" t="s">
        <v>57</v>
      </c>
    </row>
    <row r="124" spans="1:16" x14ac:dyDescent="0.25">
      <c r="A124" t="s">
        <v>284</v>
      </c>
      <c r="B124" s="3">
        <v>45899</v>
      </c>
      <c r="C124" t="s">
        <v>145</v>
      </c>
      <c r="D124" t="s">
        <v>18</v>
      </c>
      <c r="E124">
        <v>48</v>
      </c>
      <c r="F124" t="s">
        <v>51</v>
      </c>
      <c r="G124" t="s">
        <v>29</v>
      </c>
      <c r="H124" t="s">
        <v>30</v>
      </c>
      <c r="I124">
        <v>1</v>
      </c>
      <c r="J124">
        <v>499</v>
      </c>
      <c r="K124">
        <v>499</v>
      </c>
      <c r="L124">
        <v>20</v>
      </c>
      <c r="M124" t="s">
        <v>38</v>
      </c>
      <c r="N124" t="s">
        <v>23</v>
      </c>
      <c r="O124" t="s">
        <v>24</v>
      </c>
      <c r="P124" t="s">
        <v>70</v>
      </c>
    </row>
    <row r="125" spans="1:16" x14ac:dyDescent="0.25">
      <c r="A125" t="s">
        <v>285</v>
      </c>
      <c r="B125" s="3">
        <v>45969</v>
      </c>
      <c r="C125" t="s">
        <v>286</v>
      </c>
      <c r="D125" t="s">
        <v>35</v>
      </c>
      <c r="E125">
        <v>25</v>
      </c>
      <c r="F125" t="s">
        <v>43</v>
      </c>
      <c r="G125" t="s">
        <v>29</v>
      </c>
      <c r="H125" t="s">
        <v>30</v>
      </c>
      <c r="I125">
        <v>5</v>
      </c>
      <c r="J125">
        <v>2499</v>
      </c>
      <c r="K125">
        <v>12495</v>
      </c>
      <c r="L125">
        <v>5</v>
      </c>
      <c r="M125" t="s">
        <v>46</v>
      </c>
      <c r="N125" t="s">
        <v>23</v>
      </c>
      <c r="O125" t="s">
        <v>24</v>
      </c>
      <c r="P125" t="s">
        <v>89</v>
      </c>
    </row>
    <row r="126" spans="1:16" x14ac:dyDescent="0.25">
      <c r="A126" t="s">
        <v>287</v>
      </c>
      <c r="B126" s="3">
        <v>45714</v>
      </c>
      <c r="C126" t="s">
        <v>288</v>
      </c>
      <c r="D126" t="s">
        <v>18</v>
      </c>
      <c r="E126">
        <v>58</v>
      </c>
      <c r="F126" t="s">
        <v>76</v>
      </c>
      <c r="G126" t="s">
        <v>36</v>
      </c>
      <c r="H126" t="s">
        <v>133</v>
      </c>
      <c r="I126">
        <v>4</v>
      </c>
      <c r="J126">
        <v>249</v>
      </c>
      <c r="K126">
        <v>996</v>
      </c>
      <c r="L126">
        <v>5</v>
      </c>
      <c r="M126" t="s">
        <v>46</v>
      </c>
      <c r="N126" t="s">
        <v>61</v>
      </c>
      <c r="O126" t="s">
        <v>24</v>
      </c>
      <c r="P126" t="s">
        <v>40</v>
      </c>
    </row>
    <row r="127" spans="1:16" x14ac:dyDescent="0.25">
      <c r="A127" t="s">
        <v>289</v>
      </c>
      <c r="B127" s="3">
        <v>45753</v>
      </c>
      <c r="C127" t="s">
        <v>290</v>
      </c>
      <c r="D127" t="s">
        <v>18</v>
      </c>
      <c r="E127">
        <v>51</v>
      </c>
      <c r="F127" t="s">
        <v>60</v>
      </c>
      <c r="G127" t="s">
        <v>44</v>
      </c>
      <c r="H127" t="s">
        <v>235</v>
      </c>
      <c r="I127">
        <v>5</v>
      </c>
      <c r="J127">
        <v>799</v>
      </c>
      <c r="K127">
        <v>3995</v>
      </c>
      <c r="L127">
        <v>0</v>
      </c>
      <c r="M127" t="s">
        <v>85</v>
      </c>
      <c r="N127" t="s">
        <v>23</v>
      </c>
      <c r="O127" t="s">
        <v>39</v>
      </c>
      <c r="P127" t="s">
        <v>82</v>
      </c>
    </row>
    <row r="128" spans="1:16" x14ac:dyDescent="0.25">
      <c r="A128" t="s">
        <v>291</v>
      </c>
      <c r="B128" s="3">
        <v>45666</v>
      </c>
      <c r="C128" t="s">
        <v>173</v>
      </c>
      <c r="D128" t="s">
        <v>18</v>
      </c>
      <c r="E128">
        <v>40</v>
      </c>
      <c r="F128" t="s">
        <v>76</v>
      </c>
      <c r="G128" t="s">
        <v>20</v>
      </c>
      <c r="H128" t="s">
        <v>120</v>
      </c>
      <c r="I128">
        <v>3</v>
      </c>
      <c r="J128">
        <v>499</v>
      </c>
      <c r="K128">
        <v>1497</v>
      </c>
      <c r="L128">
        <v>0</v>
      </c>
      <c r="M128" t="s">
        <v>85</v>
      </c>
      <c r="N128" t="s">
        <v>31</v>
      </c>
      <c r="O128" t="s">
        <v>24</v>
      </c>
      <c r="P128" t="s">
        <v>117</v>
      </c>
    </row>
    <row r="129" spans="1:16" x14ac:dyDescent="0.25">
      <c r="A129" t="s">
        <v>292</v>
      </c>
      <c r="B129" s="3">
        <v>45747</v>
      </c>
      <c r="C129" t="s">
        <v>209</v>
      </c>
      <c r="D129" t="s">
        <v>35</v>
      </c>
      <c r="E129">
        <v>48</v>
      </c>
      <c r="F129" t="s">
        <v>124</v>
      </c>
      <c r="G129" t="s">
        <v>44</v>
      </c>
      <c r="H129" t="s">
        <v>151</v>
      </c>
      <c r="I129">
        <v>3</v>
      </c>
      <c r="J129">
        <v>1999</v>
      </c>
      <c r="K129">
        <v>5997</v>
      </c>
      <c r="L129">
        <v>5</v>
      </c>
      <c r="M129" t="s">
        <v>38</v>
      </c>
      <c r="N129" t="s">
        <v>61</v>
      </c>
      <c r="O129" t="s">
        <v>24</v>
      </c>
      <c r="P129" t="s">
        <v>86</v>
      </c>
    </row>
    <row r="130" spans="1:16" x14ac:dyDescent="0.25">
      <c r="A130" t="s">
        <v>293</v>
      </c>
      <c r="B130" s="3">
        <v>45819</v>
      </c>
      <c r="C130" t="s">
        <v>294</v>
      </c>
      <c r="D130" t="s">
        <v>35</v>
      </c>
      <c r="E130">
        <v>52</v>
      </c>
      <c r="F130" t="s">
        <v>51</v>
      </c>
      <c r="G130" t="s">
        <v>29</v>
      </c>
      <c r="H130" t="s">
        <v>108</v>
      </c>
      <c r="I130">
        <v>2</v>
      </c>
      <c r="J130">
        <v>199</v>
      </c>
      <c r="K130">
        <v>398</v>
      </c>
      <c r="L130">
        <v>10</v>
      </c>
      <c r="M130" t="s">
        <v>38</v>
      </c>
      <c r="N130" t="s">
        <v>47</v>
      </c>
      <c r="O130" t="s">
        <v>39</v>
      </c>
      <c r="P130" t="s">
        <v>125</v>
      </c>
    </row>
    <row r="131" spans="1:16" x14ac:dyDescent="0.25">
      <c r="A131" t="s">
        <v>295</v>
      </c>
      <c r="B131" s="3">
        <v>45846</v>
      </c>
      <c r="C131" t="s">
        <v>296</v>
      </c>
      <c r="D131" t="s">
        <v>35</v>
      </c>
      <c r="E131">
        <v>46</v>
      </c>
      <c r="F131" t="s">
        <v>28</v>
      </c>
      <c r="G131" t="s">
        <v>20</v>
      </c>
      <c r="H131" t="s">
        <v>77</v>
      </c>
      <c r="I131">
        <v>3</v>
      </c>
      <c r="J131">
        <v>249</v>
      </c>
      <c r="K131">
        <v>747</v>
      </c>
      <c r="L131">
        <v>10</v>
      </c>
      <c r="M131" t="s">
        <v>53</v>
      </c>
      <c r="N131" t="s">
        <v>61</v>
      </c>
      <c r="O131" t="s">
        <v>48</v>
      </c>
      <c r="P131" t="s">
        <v>82</v>
      </c>
    </row>
    <row r="132" spans="1:16" x14ac:dyDescent="0.25">
      <c r="A132" t="s">
        <v>297</v>
      </c>
      <c r="B132" s="3">
        <v>45875</v>
      </c>
      <c r="C132" t="s">
        <v>272</v>
      </c>
      <c r="D132" t="s">
        <v>35</v>
      </c>
      <c r="E132">
        <v>56</v>
      </c>
      <c r="F132" t="s">
        <v>124</v>
      </c>
      <c r="G132" t="s">
        <v>44</v>
      </c>
      <c r="H132" t="s">
        <v>151</v>
      </c>
      <c r="I132">
        <v>3</v>
      </c>
      <c r="J132">
        <v>249</v>
      </c>
      <c r="K132">
        <v>747</v>
      </c>
      <c r="L132">
        <v>20</v>
      </c>
      <c r="M132" t="s">
        <v>46</v>
      </c>
      <c r="N132" t="s">
        <v>31</v>
      </c>
      <c r="O132" t="s">
        <v>24</v>
      </c>
      <c r="P132" t="s">
        <v>25</v>
      </c>
    </row>
    <row r="133" spans="1:16" x14ac:dyDescent="0.25">
      <c r="A133" t="s">
        <v>298</v>
      </c>
      <c r="B133" s="3">
        <v>45966</v>
      </c>
      <c r="C133" t="s">
        <v>299</v>
      </c>
      <c r="D133" t="s">
        <v>35</v>
      </c>
      <c r="E133">
        <v>28</v>
      </c>
      <c r="F133" t="s">
        <v>51</v>
      </c>
      <c r="G133" t="s">
        <v>44</v>
      </c>
      <c r="H133" t="s">
        <v>177</v>
      </c>
      <c r="I133">
        <v>3</v>
      </c>
      <c r="J133">
        <v>999</v>
      </c>
      <c r="K133">
        <v>2997</v>
      </c>
      <c r="L133">
        <v>10</v>
      </c>
      <c r="M133" t="s">
        <v>22</v>
      </c>
      <c r="N133" t="s">
        <v>23</v>
      </c>
      <c r="O133" t="s">
        <v>48</v>
      </c>
      <c r="P133" t="s">
        <v>125</v>
      </c>
    </row>
    <row r="134" spans="1:16" x14ac:dyDescent="0.25">
      <c r="A134" t="s">
        <v>300</v>
      </c>
      <c r="B134" s="3">
        <v>45687</v>
      </c>
      <c r="C134" t="s">
        <v>226</v>
      </c>
      <c r="D134" t="s">
        <v>35</v>
      </c>
      <c r="E134">
        <v>41</v>
      </c>
      <c r="F134" t="s">
        <v>124</v>
      </c>
      <c r="G134" t="s">
        <v>68</v>
      </c>
      <c r="H134" t="s">
        <v>69</v>
      </c>
      <c r="I134">
        <v>3</v>
      </c>
      <c r="J134">
        <v>1999</v>
      </c>
      <c r="K134">
        <v>5997</v>
      </c>
      <c r="L134">
        <v>0</v>
      </c>
      <c r="M134" t="s">
        <v>53</v>
      </c>
      <c r="N134" t="s">
        <v>61</v>
      </c>
      <c r="O134" t="s">
        <v>24</v>
      </c>
      <c r="P134" t="s">
        <v>65</v>
      </c>
    </row>
    <row r="135" spans="1:16" x14ac:dyDescent="0.25">
      <c r="A135" t="s">
        <v>301</v>
      </c>
      <c r="B135" s="3">
        <v>45854</v>
      </c>
      <c r="C135" t="s">
        <v>302</v>
      </c>
      <c r="D135" t="s">
        <v>18</v>
      </c>
      <c r="E135">
        <v>56</v>
      </c>
      <c r="F135" t="s">
        <v>124</v>
      </c>
      <c r="G135" t="s">
        <v>20</v>
      </c>
      <c r="H135" t="s">
        <v>52</v>
      </c>
      <c r="I135">
        <v>3</v>
      </c>
      <c r="J135">
        <v>599</v>
      </c>
      <c r="K135">
        <v>1797</v>
      </c>
      <c r="L135">
        <v>15</v>
      </c>
      <c r="M135" t="s">
        <v>46</v>
      </c>
      <c r="N135" t="s">
        <v>31</v>
      </c>
      <c r="O135" t="s">
        <v>39</v>
      </c>
      <c r="P135" t="s">
        <v>25</v>
      </c>
    </row>
    <row r="136" spans="1:16" x14ac:dyDescent="0.25">
      <c r="A136" t="s">
        <v>303</v>
      </c>
      <c r="B136" s="3">
        <v>45861</v>
      </c>
      <c r="C136" t="s">
        <v>304</v>
      </c>
      <c r="D136" t="s">
        <v>35</v>
      </c>
      <c r="E136">
        <v>33</v>
      </c>
      <c r="F136" t="s">
        <v>19</v>
      </c>
      <c r="G136" t="s">
        <v>68</v>
      </c>
      <c r="H136" t="s">
        <v>137</v>
      </c>
      <c r="I136">
        <v>5</v>
      </c>
      <c r="J136">
        <v>599</v>
      </c>
      <c r="K136">
        <v>2995</v>
      </c>
      <c r="L136">
        <v>0</v>
      </c>
      <c r="M136" t="s">
        <v>53</v>
      </c>
      <c r="N136" t="s">
        <v>61</v>
      </c>
      <c r="O136" t="s">
        <v>48</v>
      </c>
      <c r="P136" t="s">
        <v>157</v>
      </c>
    </row>
    <row r="137" spans="1:16" x14ac:dyDescent="0.25">
      <c r="A137" t="s">
        <v>305</v>
      </c>
      <c r="B137" s="3">
        <v>46018</v>
      </c>
      <c r="C137" t="s">
        <v>186</v>
      </c>
      <c r="D137" t="s">
        <v>18</v>
      </c>
      <c r="E137">
        <v>57</v>
      </c>
      <c r="F137" t="s">
        <v>43</v>
      </c>
      <c r="G137" t="s">
        <v>68</v>
      </c>
      <c r="H137" t="s">
        <v>73</v>
      </c>
      <c r="I137">
        <v>3</v>
      </c>
      <c r="J137">
        <v>499</v>
      </c>
      <c r="K137">
        <v>1497</v>
      </c>
      <c r="L137">
        <v>15</v>
      </c>
      <c r="M137" t="s">
        <v>53</v>
      </c>
      <c r="N137" t="s">
        <v>23</v>
      </c>
      <c r="O137" t="s">
        <v>24</v>
      </c>
      <c r="P137" t="s">
        <v>25</v>
      </c>
    </row>
    <row r="138" spans="1:16" x14ac:dyDescent="0.25">
      <c r="A138" t="s">
        <v>306</v>
      </c>
      <c r="B138" s="3">
        <v>46007</v>
      </c>
      <c r="C138" t="s">
        <v>304</v>
      </c>
      <c r="D138" t="s">
        <v>35</v>
      </c>
      <c r="E138">
        <v>22</v>
      </c>
      <c r="F138" t="s">
        <v>43</v>
      </c>
      <c r="G138" t="s">
        <v>36</v>
      </c>
      <c r="H138" t="s">
        <v>102</v>
      </c>
      <c r="I138">
        <v>4</v>
      </c>
      <c r="J138">
        <v>249</v>
      </c>
      <c r="K138">
        <v>996</v>
      </c>
      <c r="L138">
        <v>10</v>
      </c>
      <c r="M138" t="s">
        <v>53</v>
      </c>
      <c r="N138" t="s">
        <v>47</v>
      </c>
      <c r="O138" t="s">
        <v>39</v>
      </c>
      <c r="P138" t="s">
        <v>78</v>
      </c>
    </row>
    <row r="139" spans="1:16" x14ac:dyDescent="0.25">
      <c r="A139" t="s">
        <v>307</v>
      </c>
      <c r="B139" s="3">
        <v>45779</v>
      </c>
      <c r="C139" t="s">
        <v>288</v>
      </c>
      <c r="D139" t="s">
        <v>18</v>
      </c>
      <c r="E139">
        <v>41</v>
      </c>
      <c r="F139" t="s">
        <v>60</v>
      </c>
      <c r="G139" t="s">
        <v>29</v>
      </c>
      <c r="H139" t="s">
        <v>108</v>
      </c>
      <c r="I139">
        <v>2</v>
      </c>
      <c r="J139">
        <v>299</v>
      </c>
      <c r="K139">
        <v>598</v>
      </c>
      <c r="L139">
        <v>15</v>
      </c>
      <c r="M139" t="s">
        <v>85</v>
      </c>
      <c r="N139" t="s">
        <v>47</v>
      </c>
      <c r="O139" t="s">
        <v>48</v>
      </c>
      <c r="P139" t="s">
        <v>25</v>
      </c>
    </row>
    <row r="140" spans="1:16" x14ac:dyDescent="0.25">
      <c r="A140" t="s">
        <v>308</v>
      </c>
      <c r="B140" s="3">
        <v>45903</v>
      </c>
      <c r="C140" t="s">
        <v>286</v>
      </c>
      <c r="D140" t="s">
        <v>35</v>
      </c>
      <c r="E140">
        <v>44</v>
      </c>
      <c r="F140" t="s">
        <v>19</v>
      </c>
      <c r="G140" t="s">
        <v>20</v>
      </c>
      <c r="H140" t="s">
        <v>77</v>
      </c>
      <c r="I140">
        <v>4</v>
      </c>
      <c r="J140">
        <v>2499</v>
      </c>
      <c r="K140">
        <v>9996</v>
      </c>
      <c r="L140">
        <v>5</v>
      </c>
      <c r="M140" t="s">
        <v>46</v>
      </c>
      <c r="N140" t="s">
        <v>23</v>
      </c>
      <c r="O140" t="s">
        <v>39</v>
      </c>
      <c r="P140" t="s">
        <v>62</v>
      </c>
    </row>
    <row r="141" spans="1:16" x14ac:dyDescent="0.25">
      <c r="A141" t="s">
        <v>309</v>
      </c>
      <c r="B141" s="3">
        <v>45985</v>
      </c>
      <c r="C141" t="s">
        <v>310</v>
      </c>
      <c r="D141" t="s">
        <v>18</v>
      </c>
      <c r="E141">
        <v>26</v>
      </c>
      <c r="F141" t="s">
        <v>28</v>
      </c>
      <c r="G141" t="s">
        <v>68</v>
      </c>
      <c r="H141" t="s">
        <v>171</v>
      </c>
      <c r="I141">
        <v>2</v>
      </c>
      <c r="J141">
        <v>1299</v>
      </c>
      <c r="K141">
        <v>2598</v>
      </c>
      <c r="L141">
        <v>20</v>
      </c>
      <c r="M141" t="s">
        <v>38</v>
      </c>
      <c r="N141" t="s">
        <v>23</v>
      </c>
      <c r="O141" t="s">
        <v>48</v>
      </c>
      <c r="P141" t="s">
        <v>65</v>
      </c>
    </row>
    <row r="142" spans="1:16" x14ac:dyDescent="0.25">
      <c r="A142" t="s">
        <v>311</v>
      </c>
      <c r="B142" s="3">
        <v>46021</v>
      </c>
      <c r="C142" t="s">
        <v>276</v>
      </c>
      <c r="D142" t="s">
        <v>35</v>
      </c>
      <c r="E142">
        <v>51</v>
      </c>
      <c r="F142" t="s">
        <v>43</v>
      </c>
      <c r="G142" t="s">
        <v>44</v>
      </c>
      <c r="H142" t="s">
        <v>235</v>
      </c>
      <c r="I142">
        <v>2</v>
      </c>
      <c r="J142">
        <v>599</v>
      </c>
      <c r="K142">
        <v>1198</v>
      </c>
      <c r="L142">
        <v>0</v>
      </c>
      <c r="M142" t="s">
        <v>46</v>
      </c>
      <c r="N142" t="s">
        <v>47</v>
      </c>
      <c r="O142" t="s">
        <v>48</v>
      </c>
      <c r="P142" t="s">
        <v>103</v>
      </c>
    </row>
    <row r="143" spans="1:16" x14ac:dyDescent="0.25">
      <c r="A143" t="s">
        <v>312</v>
      </c>
      <c r="B143" s="3">
        <v>45931</v>
      </c>
      <c r="C143" t="s">
        <v>313</v>
      </c>
      <c r="D143" t="s">
        <v>18</v>
      </c>
      <c r="E143">
        <v>55</v>
      </c>
      <c r="F143" t="s">
        <v>124</v>
      </c>
      <c r="G143" t="s">
        <v>44</v>
      </c>
      <c r="H143" t="s">
        <v>235</v>
      </c>
      <c r="I143">
        <v>3</v>
      </c>
      <c r="J143">
        <v>1499</v>
      </c>
      <c r="K143">
        <v>4497</v>
      </c>
      <c r="L143">
        <v>5</v>
      </c>
      <c r="M143" t="s">
        <v>85</v>
      </c>
      <c r="N143" t="s">
        <v>31</v>
      </c>
      <c r="O143" t="s">
        <v>48</v>
      </c>
      <c r="P143" t="s">
        <v>117</v>
      </c>
    </row>
    <row r="144" spans="1:16" x14ac:dyDescent="0.25">
      <c r="A144" t="s">
        <v>314</v>
      </c>
      <c r="B144" s="3">
        <v>45953</v>
      </c>
      <c r="C144" t="s">
        <v>315</v>
      </c>
      <c r="D144" t="s">
        <v>18</v>
      </c>
      <c r="E144">
        <v>54</v>
      </c>
      <c r="F144" t="s">
        <v>28</v>
      </c>
      <c r="G144" t="s">
        <v>20</v>
      </c>
      <c r="H144" t="s">
        <v>21</v>
      </c>
      <c r="I144">
        <v>1</v>
      </c>
      <c r="J144">
        <v>1999</v>
      </c>
      <c r="K144">
        <v>1999</v>
      </c>
      <c r="L144">
        <v>20</v>
      </c>
      <c r="M144" t="s">
        <v>38</v>
      </c>
      <c r="N144" t="s">
        <v>61</v>
      </c>
      <c r="O144" t="s">
        <v>48</v>
      </c>
      <c r="P144" t="s">
        <v>103</v>
      </c>
    </row>
    <row r="145" spans="1:16" x14ac:dyDescent="0.25">
      <c r="A145" t="s">
        <v>316</v>
      </c>
      <c r="B145" s="3">
        <v>46008</v>
      </c>
      <c r="C145" t="s">
        <v>129</v>
      </c>
      <c r="D145" t="s">
        <v>35</v>
      </c>
      <c r="E145">
        <v>47</v>
      </c>
      <c r="F145" t="s">
        <v>19</v>
      </c>
      <c r="G145" t="s">
        <v>44</v>
      </c>
      <c r="H145" t="s">
        <v>177</v>
      </c>
      <c r="I145">
        <v>4</v>
      </c>
      <c r="J145">
        <v>399</v>
      </c>
      <c r="K145">
        <v>1596</v>
      </c>
      <c r="L145">
        <v>0</v>
      </c>
      <c r="M145" t="s">
        <v>53</v>
      </c>
      <c r="N145" t="s">
        <v>61</v>
      </c>
      <c r="O145" t="s">
        <v>39</v>
      </c>
      <c r="P145" t="s">
        <v>82</v>
      </c>
    </row>
    <row r="146" spans="1:16" x14ac:dyDescent="0.25">
      <c r="A146" t="s">
        <v>317</v>
      </c>
      <c r="B146" s="3">
        <v>45731</v>
      </c>
      <c r="C146" t="s">
        <v>304</v>
      </c>
      <c r="D146" t="s">
        <v>35</v>
      </c>
      <c r="E146">
        <v>40</v>
      </c>
      <c r="F146" t="s">
        <v>28</v>
      </c>
      <c r="G146" t="s">
        <v>36</v>
      </c>
      <c r="H146" t="s">
        <v>102</v>
      </c>
      <c r="I146">
        <v>3</v>
      </c>
      <c r="J146">
        <v>1499</v>
      </c>
      <c r="K146">
        <v>4497</v>
      </c>
      <c r="L146">
        <v>5</v>
      </c>
      <c r="M146" t="s">
        <v>46</v>
      </c>
      <c r="N146" t="s">
        <v>23</v>
      </c>
      <c r="O146" t="s">
        <v>39</v>
      </c>
      <c r="P146" t="s">
        <v>89</v>
      </c>
    </row>
    <row r="147" spans="1:16" x14ac:dyDescent="0.25">
      <c r="A147" t="s">
        <v>318</v>
      </c>
      <c r="B147" s="3">
        <v>45784</v>
      </c>
      <c r="C147" t="s">
        <v>319</v>
      </c>
      <c r="D147" t="s">
        <v>18</v>
      </c>
      <c r="E147">
        <v>16</v>
      </c>
      <c r="F147" t="s">
        <v>43</v>
      </c>
      <c r="G147" t="s">
        <v>36</v>
      </c>
      <c r="H147" t="s">
        <v>156</v>
      </c>
      <c r="I147">
        <v>3</v>
      </c>
      <c r="J147">
        <v>999</v>
      </c>
      <c r="K147">
        <v>2997</v>
      </c>
      <c r="L147">
        <v>15</v>
      </c>
      <c r="M147" t="s">
        <v>85</v>
      </c>
      <c r="N147" t="s">
        <v>61</v>
      </c>
      <c r="O147" t="s">
        <v>24</v>
      </c>
      <c r="P147" t="s">
        <v>32</v>
      </c>
    </row>
    <row r="148" spans="1:16" x14ac:dyDescent="0.25">
      <c r="A148" t="s">
        <v>320</v>
      </c>
      <c r="B148" s="3">
        <v>45739</v>
      </c>
      <c r="C148" t="s">
        <v>288</v>
      </c>
      <c r="D148" t="s">
        <v>35</v>
      </c>
      <c r="E148">
        <v>49</v>
      </c>
      <c r="F148" t="s">
        <v>43</v>
      </c>
      <c r="G148" t="s">
        <v>44</v>
      </c>
      <c r="H148" t="s">
        <v>151</v>
      </c>
      <c r="I148">
        <v>3</v>
      </c>
      <c r="J148">
        <v>399</v>
      </c>
      <c r="K148">
        <v>1197</v>
      </c>
      <c r="L148">
        <v>15</v>
      </c>
      <c r="M148" t="s">
        <v>38</v>
      </c>
      <c r="N148" t="s">
        <v>23</v>
      </c>
      <c r="O148" t="s">
        <v>39</v>
      </c>
      <c r="P148" t="s">
        <v>78</v>
      </c>
    </row>
    <row r="149" spans="1:16" x14ac:dyDescent="0.25">
      <c r="A149" t="s">
        <v>321</v>
      </c>
      <c r="B149" s="3">
        <v>45838</v>
      </c>
      <c r="C149" t="s">
        <v>250</v>
      </c>
      <c r="D149" t="s">
        <v>18</v>
      </c>
      <c r="E149">
        <v>36</v>
      </c>
      <c r="F149" t="s">
        <v>51</v>
      </c>
      <c r="G149" t="s">
        <v>36</v>
      </c>
      <c r="H149" t="s">
        <v>102</v>
      </c>
      <c r="I149">
        <v>2</v>
      </c>
      <c r="J149">
        <v>1499</v>
      </c>
      <c r="K149">
        <v>2998</v>
      </c>
      <c r="L149">
        <v>20</v>
      </c>
      <c r="M149" t="s">
        <v>22</v>
      </c>
      <c r="N149" t="s">
        <v>31</v>
      </c>
      <c r="O149" t="s">
        <v>48</v>
      </c>
      <c r="P149" t="s">
        <v>121</v>
      </c>
    </row>
    <row r="150" spans="1:16" x14ac:dyDescent="0.25">
      <c r="A150" t="s">
        <v>322</v>
      </c>
      <c r="B150" s="3">
        <v>45845</v>
      </c>
      <c r="C150" t="s">
        <v>34</v>
      </c>
      <c r="D150" t="s">
        <v>35</v>
      </c>
      <c r="E150">
        <v>41</v>
      </c>
      <c r="F150" t="s">
        <v>98</v>
      </c>
      <c r="G150" t="s">
        <v>20</v>
      </c>
      <c r="H150" t="s">
        <v>120</v>
      </c>
      <c r="I150">
        <v>2</v>
      </c>
      <c r="J150">
        <v>499</v>
      </c>
      <c r="K150">
        <v>998</v>
      </c>
      <c r="L150">
        <v>15</v>
      </c>
      <c r="M150" t="s">
        <v>38</v>
      </c>
      <c r="N150" t="s">
        <v>47</v>
      </c>
      <c r="O150" t="s">
        <v>39</v>
      </c>
      <c r="P150" t="s">
        <v>103</v>
      </c>
    </row>
    <row r="151" spans="1:16" x14ac:dyDescent="0.25">
      <c r="A151" t="s">
        <v>323</v>
      </c>
      <c r="B151" s="3">
        <v>45888</v>
      </c>
      <c r="C151" t="s">
        <v>34</v>
      </c>
      <c r="D151" t="s">
        <v>35</v>
      </c>
      <c r="E151">
        <v>57</v>
      </c>
      <c r="F151" t="s">
        <v>19</v>
      </c>
      <c r="G151" t="s">
        <v>44</v>
      </c>
      <c r="H151" t="s">
        <v>45</v>
      </c>
      <c r="I151">
        <v>4</v>
      </c>
      <c r="J151">
        <v>1299</v>
      </c>
      <c r="K151">
        <v>5196</v>
      </c>
      <c r="L151">
        <v>5</v>
      </c>
      <c r="M151" t="s">
        <v>38</v>
      </c>
      <c r="N151" t="s">
        <v>61</v>
      </c>
      <c r="O151" t="s">
        <v>39</v>
      </c>
      <c r="P151" t="s">
        <v>57</v>
      </c>
    </row>
    <row r="152" spans="1:16" x14ac:dyDescent="0.25">
      <c r="A152" t="s">
        <v>324</v>
      </c>
      <c r="B152" s="3">
        <v>45966</v>
      </c>
      <c r="C152" t="s">
        <v>205</v>
      </c>
      <c r="D152" t="s">
        <v>35</v>
      </c>
      <c r="E152">
        <v>50</v>
      </c>
      <c r="F152" t="s">
        <v>98</v>
      </c>
      <c r="G152" t="s">
        <v>68</v>
      </c>
      <c r="H152" t="s">
        <v>171</v>
      </c>
      <c r="I152">
        <v>2</v>
      </c>
      <c r="J152">
        <v>399</v>
      </c>
      <c r="K152">
        <v>798</v>
      </c>
      <c r="L152">
        <v>0</v>
      </c>
      <c r="M152" t="s">
        <v>38</v>
      </c>
      <c r="N152" t="s">
        <v>47</v>
      </c>
      <c r="O152" t="s">
        <v>48</v>
      </c>
      <c r="P152" t="s">
        <v>57</v>
      </c>
    </row>
    <row r="153" spans="1:16" x14ac:dyDescent="0.25">
      <c r="A153" t="s">
        <v>325</v>
      </c>
      <c r="B153" s="3">
        <v>45968</v>
      </c>
      <c r="C153" t="s">
        <v>205</v>
      </c>
      <c r="D153" t="s">
        <v>18</v>
      </c>
      <c r="E153">
        <v>38</v>
      </c>
      <c r="F153" t="s">
        <v>60</v>
      </c>
      <c r="G153" t="s">
        <v>36</v>
      </c>
      <c r="H153" t="s">
        <v>133</v>
      </c>
      <c r="I153">
        <v>4</v>
      </c>
      <c r="J153">
        <v>299</v>
      </c>
      <c r="K153">
        <v>1196</v>
      </c>
      <c r="L153">
        <v>5</v>
      </c>
      <c r="M153" t="s">
        <v>22</v>
      </c>
      <c r="N153" t="s">
        <v>31</v>
      </c>
      <c r="O153" t="s">
        <v>48</v>
      </c>
      <c r="P153" t="s">
        <v>57</v>
      </c>
    </row>
    <row r="154" spans="1:16" x14ac:dyDescent="0.25">
      <c r="A154" t="s">
        <v>326</v>
      </c>
      <c r="B154" s="3">
        <v>46020</v>
      </c>
      <c r="C154" t="s">
        <v>302</v>
      </c>
      <c r="D154" t="s">
        <v>35</v>
      </c>
      <c r="E154">
        <v>48</v>
      </c>
      <c r="F154" t="s">
        <v>98</v>
      </c>
      <c r="G154" t="s">
        <v>68</v>
      </c>
      <c r="H154" t="s">
        <v>94</v>
      </c>
      <c r="I154">
        <v>5</v>
      </c>
      <c r="J154">
        <v>999</v>
      </c>
      <c r="K154">
        <v>4995</v>
      </c>
      <c r="L154">
        <v>10</v>
      </c>
      <c r="M154" t="s">
        <v>46</v>
      </c>
      <c r="N154" t="s">
        <v>23</v>
      </c>
      <c r="O154" t="s">
        <v>39</v>
      </c>
      <c r="P154" t="s">
        <v>193</v>
      </c>
    </row>
    <row r="155" spans="1:16" x14ac:dyDescent="0.25">
      <c r="A155" t="s">
        <v>327</v>
      </c>
      <c r="B155" s="3">
        <v>45793</v>
      </c>
      <c r="C155" t="s">
        <v>164</v>
      </c>
      <c r="D155" t="s">
        <v>18</v>
      </c>
      <c r="E155">
        <v>21</v>
      </c>
      <c r="F155" t="s">
        <v>51</v>
      </c>
      <c r="G155" t="s">
        <v>44</v>
      </c>
      <c r="H155" t="s">
        <v>45</v>
      </c>
      <c r="I155">
        <v>5</v>
      </c>
      <c r="J155">
        <v>999</v>
      </c>
      <c r="K155">
        <v>4995</v>
      </c>
      <c r="L155">
        <v>5</v>
      </c>
      <c r="M155" t="s">
        <v>85</v>
      </c>
      <c r="N155" t="s">
        <v>61</v>
      </c>
      <c r="O155" t="s">
        <v>24</v>
      </c>
      <c r="P155" t="s">
        <v>89</v>
      </c>
    </row>
    <row r="156" spans="1:16" x14ac:dyDescent="0.25">
      <c r="A156" t="s">
        <v>328</v>
      </c>
      <c r="B156" s="3">
        <v>45667</v>
      </c>
      <c r="C156" t="s">
        <v>329</v>
      </c>
      <c r="D156" t="s">
        <v>35</v>
      </c>
      <c r="E156">
        <v>44</v>
      </c>
      <c r="F156" t="s">
        <v>124</v>
      </c>
      <c r="G156" t="s">
        <v>20</v>
      </c>
      <c r="H156" t="s">
        <v>81</v>
      </c>
      <c r="I156">
        <v>1</v>
      </c>
      <c r="J156">
        <v>399</v>
      </c>
      <c r="K156">
        <v>399</v>
      </c>
      <c r="L156">
        <v>15</v>
      </c>
      <c r="M156" t="s">
        <v>53</v>
      </c>
      <c r="N156" t="s">
        <v>61</v>
      </c>
      <c r="O156" t="s">
        <v>48</v>
      </c>
      <c r="P156" t="s">
        <v>40</v>
      </c>
    </row>
    <row r="157" spans="1:16" x14ac:dyDescent="0.25">
      <c r="A157" t="s">
        <v>330</v>
      </c>
      <c r="B157" s="3">
        <v>45764</v>
      </c>
      <c r="C157" t="s">
        <v>27</v>
      </c>
      <c r="D157" t="s">
        <v>35</v>
      </c>
      <c r="E157">
        <v>60</v>
      </c>
      <c r="F157" t="s">
        <v>51</v>
      </c>
      <c r="G157" t="s">
        <v>36</v>
      </c>
      <c r="H157" t="s">
        <v>156</v>
      </c>
      <c r="I157">
        <v>2</v>
      </c>
      <c r="J157">
        <v>1299</v>
      </c>
      <c r="K157">
        <v>2598</v>
      </c>
      <c r="L157">
        <v>20</v>
      </c>
      <c r="M157" t="s">
        <v>22</v>
      </c>
      <c r="N157" t="s">
        <v>31</v>
      </c>
      <c r="O157" t="s">
        <v>24</v>
      </c>
      <c r="P157" t="s">
        <v>62</v>
      </c>
    </row>
    <row r="158" spans="1:16" x14ac:dyDescent="0.25">
      <c r="A158" t="s">
        <v>331</v>
      </c>
      <c r="B158" s="3">
        <v>46004</v>
      </c>
      <c r="C158" t="s">
        <v>155</v>
      </c>
      <c r="D158" t="s">
        <v>35</v>
      </c>
      <c r="E158">
        <v>57</v>
      </c>
      <c r="F158" t="s">
        <v>51</v>
      </c>
      <c r="G158" t="s">
        <v>68</v>
      </c>
      <c r="H158" t="s">
        <v>171</v>
      </c>
      <c r="I158">
        <v>5</v>
      </c>
      <c r="J158">
        <v>599</v>
      </c>
      <c r="K158">
        <v>2995</v>
      </c>
      <c r="L158">
        <v>5</v>
      </c>
      <c r="M158" t="s">
        <v>53</v>
      </c>
      <c r="N158" t="s">
        <v>31</v>
      </c>
      <c r="O158" t="s">
        <v>48</v>
      </c>
      <c r="P158" t="s">
        <v>86</v>
      </c>
    </row>
    <row r="159" spans="1:16" x14ac:dyDescent="0.25">
      <c r="A159" t="s">
        <v>332</v>
      </c>
      <c r="B159" s="3">
        <v>45764</v>
      </c>
      <c r="C159" t="s">
        <v>153</v>
      </c>
      <c r="D159" t="s">
        <v>35</v>
      </c>
      <c r="E159">
        <v>38</v>
      </c>
      <c r="F159" t="s">
        <v>51</v>
      </c>
      <c r="G159" t="s">
        <v>29</v>
      </c>
      <c r="H159" t="s">
        <v>64</v>
      </c>
      <c r="I159">
        <v>3</v>
      </c>
      <c r="J159">
        <v>2499</v>
      </c>
      <c r="K159">
        <v>7497</v>
      </c>
      <c r="L159">
        <v>10</v>
      </c>
      <c r="M159" t="s">
        <v>85</v>
      </c>
      <c r="N159" t="s">
        <v>31</v>
      </c>
      <c r="O159" t="s">
        <v>39</v>
      </c>
      <c r="P159" t="s">
        <v>203</v>
      </c>
    </row>
    <row r="160" spans="1:16" x14ac:dyDescent="0.25">
      <c r="A160" t="s">
        <v>333</v>
      </c>
      <c r="B160" s="3">
        <v>45834</v>
      </c>
      <c r="C160" t="s">
        <v>155</v>
      </c>
      <c r="D160" t="s">
        <v>18</v>
      </c>
      <c r="E160">
        <v>36</v>
      </c>
      <c r="F160" t="s">
        <v>98</v>
      </c>
      <c r="G160" t="s">
        <v>68</v>
      </c>
      <c r="H160" t="s">
        <v>94</v>
      </c>
      <c r="I160">
        <v>4</v>
      </c>
      <c r="J160">
        <v>799</v>
      </c>
      <c r="K160">
        <v>3196</v>
      </c>
      <c r="L160">
        <v>10</v>
      </c>
      <c r="M160" t="s">
        <v>38</v>
      </c>
      <c r="N160" t="s">
        <v>31</v>
      </c>
      <c r="O160" t="s">
        <v>39</v>
      </c>
      <c r="P160" t="s">
        <v>70</v>
      </c>
    </row>
    <row r="161" spans="1:16" x14ac:dyDescent="0.25">
      <c r="A161" t="s">
        <v>334</v>
      </c>
      <c r="B161" s="3">
        <v>45796</v>
      </c>
      <c r="C161" t="s">
        <v>27</v>
      </c>
      <c r="D161" t="s">
        <v>35</v>
      </c>
      <c r="E161">
        <v>26</v>
      </c>
      <c r="F161" t="s">
        <v>19</v>
      </c>
      <c r="G161" t="s">
        <v>36</v>
      </c>
      <c r="H161" t="s">
        <v>102</v>
      </c>
      <c r="I161">
        <v>2</v>
      </c>
      <c r="J161">
        <v>1299</v>
      </c>
      <c r="K161">
        <v>2598</v>
      </c>
      <c r="L161">
        <v>20</v>
      </c>
      <c r="M161" t="s">
        <v>85</v>
      </c>
      <c r="N161" t="s">
        <v>47</v>
      </c>
      <c r="O161" t="s">
        <v>24</v>
      </c>
      <c r="P161" t="s">
        <v>117</v>
      </c>
    </row>
    <row r="162" spans="1:16" x14ac:dyDescent="0.25">
      <c r="A162" t="s">
        <v>335</v>
      </c>
      <c r="B162" s="3">
        <v>45709</v>
      </c>
      <c r="C162" t="s">
        <v>93</v>
      </c>
      <c r="D162" t="s">
        <v>35</v>
      </c>
      <c r="E162">
        <v>48</v>
      </c>
      <c r="F162" t="s">
        <v>19</v>
      </c>
      <c r="G162" t="s">
        <v>68</v>
      </c>
      <c r="H162" t="s">
        <v>137</v>
      </c>
      <c r="I162">
        <v>2</v>
      </c>
      <c r="J162">
        <v>199</v>
      </c>
      <c r="K162">
        <v>398</v>
      </c>
      <c r="L162">
        <v>5</v>
      </c>
      <c r="M162" t="s">
        <v>38</v>
      </c>
      <c r="N162" t="s">
        <v>47</v>
      </c>
      <c r="O162" t="s">
        <v>39</v>
      </c>
      <c r="P162" t="s">
        <v>82</v>
      </c>
    </row>
    <row r="163" spans="1:16" x14ac:dyDescent="0.25">
      <c r="A163" t="s">
        <v>336</v>
      </c>
      <c r="B163" s="3">
        <v>45804</v>
      </c>
      <c r="C163" t="s">
        <v>229</v>
      </c>
      <c r="D163" t="s">
        <v>18</v>
      </c>
      <c r="E163">
        <v>23</v>
      </c>
      <c r="F163" t="s">
        <v>76</v>
      </c>
      <c r="G163" t="s">
        <v>36</v>
      </c>
      <c r="H163" t="s">
        <v>102</v>
      </c>
      <c r="I163">
        <v>3</v>
      </c>
      <c r="J163">
        <v>599</v>
      </c>
      <c r="K163">
        <v>1797</v>
      </c>
      <c r="L163">
        <v>20</v>
      </c>
      <c r="M163" t="s">
        <v>38</v>
      </c>
      <c r="N163" t="s">
        <v>47</v>
      </c>
      <c r="O163" t="s">
        <v>39</v>
      </c>
      <c r="P163" t="s">
        <v>32</v>
      </c>
    </row>
    <row r="164" spans="1:16" x14ac:dyDescent="0.25">
      <c r="A164" t="s">
        <v>337</v>
      </c>
      <c r="B164" s="3">
        <v>45806</v>
      </c>
      <c r="C164" t="s">
        <v>91</v>
      </c>
      <c r="D164" t="s">
        <v>18</v>
      </c>
      <c r="E164">
        <v>37</v>
      </c>
      <c r="F164" t="s">
        <v>19</v>
      </c>
      <c r="G164" t="s">
        <v>20</v>
      </c>
      <c r="H164" t="s">
        <v>120</v>
      </c>
      <c r="I164">
        <v>4</v>
      </c>
      <c r="J164">
        <v>299</v>
      </c>
      <c r="K164">
        <v>1196</v>
      </c>
      <c r="L164">
        <v>10</v>
      </c>
      <c r="M164" t="s">
        <v>46</v>
      </c>
      <c r="N164" t="s">
        <v>61</v>
      </c>
      <c r="O164" t="s">
        <v>48</v>
      </c>
      <c r="P164" t="s">
        <v>103</v>
      </c>
    </row>
    <row r="165" spans="1:16" x14ac:dyDescent="0.25">
      <c r="A165" t="s">
        <v>338</v>
      </c>
      <c r="B165" s="3">
        <v>45897</v>
      </c>
      <c r="C165" t="s">
        <v>59</v>
      </c>
      <c r="D165" t="s">
        <v>18</v>
      </c>
      <c r="E165">
        <v>25</v>
      </c>
      <c r="F165" t="s">
        <v>60</v>
      </c>
      <c r="G165" t="s">
        <v>68</v>
      </c>
      <c r="H165" t="s">
        <v>69</v>
      </c>
      <c r="I165">
        <v>2</v>
      </c>
      <c r="J165">
        <v>1299</v>
      </c>
      <c r="K165">
        <v>2598</v>
      </c>
      <c r="L165">
        <v>5</v>
      </c>
      <c r="M165" t="s">
        <v>22</v>
      </c>
      <c r="N165" t="s">
        <v>31</v>
      </c>
      <c r="O165" t="s">
        <v>48</v>
      </c>
      <c r="P165" t="s">
        <v>32</v>
      </c>
    </row>
    <row r="166" spans="1:16" x14ac:dyDescent="0.25">
      <c r="A166" t="s">
        <v>339</v>
      </c>
      <c r="B166" s="3">
        <v>46003</v>
      </c>
      <c r="C166" t="s">
        <v>72</v>
      </c>
      <c r="D166" t="s">
        <v>18</v>
      </c>
      <c r="E166">
        <v>29</v>
      </c>
      <c r="F166" t="s">
        <v>28</v>
      </c>
      <c r="G166" t="s">
        <v>20</v>
      </c>
      <c r="H166" t="s">
        <v>77</v>
      </c>
      <c r="I166">
        <v>3</v>
      </c>
      <c r="J166">
        <v>1499</v>
      </c>
      <c r="K166">
        <v>4497</v>
      </c>
      <c r="L166">
        <v>15</v>
      </c>
      <c r="M166" t="s">
        <v>85</v>
      </c>
      <c r="N166" t="s">
        <v>31</v>
      </c>
      <c r="O166" t="s">
        <v>24</v>
      </c>
      <c r="P166" t="s">
        <v>157</v>
      </c>
    </row>
    <row r="167" spans="1:16" x14ac:dyDescent="0.25">
      <c r="A167" t="s">
        <v>340</v>
      </c>
      <c r="B167" s="3">
        <v>45823</v>
      </c>
      <c r="C167" t="s">
        <v>259</v>
      </c>
      <c r="D167" t="s">
        <v>18</v>
      </c>
      <c r="E167">
        <v>34</v>
      </c>
      <c r="F167" t="s">
        <v>28</v>
      </c>
      <c r="G167" t="s">
        <v>20</v>
      </c>
      <c r="H167" t="s">
        <v>52</v>
      </c>
      <c r="I167">
        <v>2</v>
      </c>
      <c r="J167">
        <v>999</v>
      </c>
      <c r="K167">
        <v>1998</v>
      </c>
      <c r="L167">
        <v>5</v>
      </c>
      <c r="M167" t="s">
        <v>22</v>
      </c>
      <c r="N167" t="s">
        <v>31</v>
      </c>
      <c r="O167" t="s">
        <v>39</v>
      </c>
      <c r="P167" t="s">
        <v>86</v>
      </c>
    </row>
    <row r="168" spans="1:16" x14ac:dyDescent="0.25">
      <c r="A168" t="s">
        <v>341</v>
      </c>
      <c r="B168" s="3">
        <v>45992</v>
      </c>
      <c r="C168" t="s">
        <v>342</v>
      </c>
      <c r="D168" t="s">
        <v>18</v>
      </c>
      <c r="E168">
        <v>21</v>
      </c>
      <c r="F168" t="s">
        <v>19</v>
      </c>
      <c r="G168" t="s">
        <v>68</v>
      </c>
      <c r="H168" t="s">
        <v>94</v>
      </c>
      <c r="I168">
        <v>1</v>
      </c>
      <c r="J168">
        <v>499</v>
      </c>
      <c r="K168">
        <v>499</v>
      </c>
      <c r="L168">
        <v>15</v>
      </c>
      <c r="M168" t="s">
        <v>46</v>
      </c>
      <c r="N168" t="s">
        <v>47</v>
      </c>
      <c r="O168" t="s">
        <v>39</v>
      </c>
      <c r="P168" t="s">
        <v>78</v>
      </c>
    </row>
    <row r="169" spans="1:16" x14ac:dyDescent="0.25">
      <c r="A169" t="s">
        <v>343</v>
      </c>
      <c r="B169" s="3">
        <v>45972</v>
      </c>
      <c r="C169" t="s">
        <v>276</v>
      </c>
      <c r="D169" t="s">
        <v>18</v>
      </c>
      <c r="E169">
        <v>26</v>
      </c>
      <c r="F169" t="s">
        <v>51</v>
      </c>
      <c r="G169" t="s">
        <v>44</v>
      </c>
      <c r="H169" t="s">
        <v>45</v>
      </c>
      <c r="I169">
        <v>3</v>
      </c>
      <c r="J169">
        <v>599</v>
      </c>
      <c r="K169">
        <v>1797</v>
      </c>
      <c r="L169">
        <v>5</v>
      </c>
      <c r="M169" t="s">
        <v>22</v>
      </c>
      <c r="N169" t="s">
        <v>31</v>
      </c>
      <c r="O169" t="s">
        <v>39</v>
      </c>
      <c r="P169" t="s">
        <v>103</v>
      </c>
    </row>
    <row r="170" spans="1:16" x14ac:dyDescent="0.25">
      <c r="A170" t="s">
        <v>344</v>
      </c>
      <c r="B170" s="3">
        <v>46006</v>
      </c>
      <c r="C170" t="s">
        <v>72</v>
      </c>
      <c r="D170" t="s">
        <v>18</v>
      </c>
      <c r="E170">
        <v>51</v>
      </c>
      <c r="F170" t="s">
        <v>51</v>
      </c>
      <c r="G170" t="s">
        <v>36</v>
      </c>
      <c r="H170" t="s">
        <v>133</v>
      </c>
      <c r="I170">
        <v>2</v>
      </c>
      <c r="J170">
        <v>399</v>
      </c>
      <c r="K170">
        <v>798</v>
      </c>
      <c r="L170">
        <v>20</v>
      </c>
      <c r="M170" t="s">
        <v>46</v>
      </c>
      <c r="N170" t="s">
        <v>23</v>
      </c>
      <c r="O170" t="s">
        <v>48</v>
      </c>
      <c r="P170" t="s">
        <v>203</v>
      </c>
    </row>
    <row r="171" spans="1:16" x14ac:dyDescent="0.25">
      <c r="A171" t="s">
        <v>345</v>
      </c>
      <c r="B171" s="3">
        <v>45951</v>
      </c>
      <c r="C171" t="s">
        <v>56</v>
      </c>
      <c r="D171" t="s">
        <v>18</v>
      </c>
      <c r="E171">
        <v>28</v>
      </c>
      <c r="F171" t="s">
        <v>60</v>
      </c>
      <c r="G171" t="s">
        <v>20</v>
      </c>
      <c r="H171" t="s">
        <v>81</v>
      </c>
      <c r="I171">
        <v>5</v>
      </c>
      <c r="J171">
        <v>399</v>
      </c>
      <c r="K171">
        <v>1995</v>
      </c>
      <c r="L171">
        <v>20</v>
      </c>
      <c r="M171" t="s">
        <v>22</v>
      </c>
      <c r="N171" t="s">
        <v>23</v>
      </c>
      <c r="O171" t="s">
        <v>48</v>
      </c>
      <c r="P171" t="s">
        <v>54</v>
      </c>
    </row>
    <row r="172" spans="1:16" x14ac:dyDescent="0.25">
      <c r="A172" t="s">
        <v>346</v>
      </c>
      <c r="B172" s="3">
        <v>45886</v>
      </c>
      <c r="C172" t="s">
        <v>105</v>
      </c>
      <c r="D172" t="s">
        <v>35</v>
      </c>
      <c r="E172">
        <v>26</v>
      </c>
      <c r="F172" t="s">
        <v>28</v>
      </c>
      <c r="G172" t="s">
        <v>68</v>
      </c>
      <c r="H172" t="s">
        <v>69</v>
      </c>
      <c r="I172">
        <v>1</v>
      </c>
      <c r="J172">
        <v>1299</v>
      </c>
      <c r="K172">
        <v>1299</v>
      </c>
      <c r="L172">
        <v>15</v>
      </c>
      <c r="M172" t="s">
        <v>85</v>
      </c>
      <c r="N172" t="s">
        <v>23</v>
      </c>
      <c r="O172" t="s">
        <v>48</v>
      </c>
      <c r="P172" t="s">
        <v>62</v>
      </c>
    </row>
    <row r="173" spans="1:16" x14ac:dyDescent="0.25">
      <c r="A173" t="s">
        <v>347</v>
      </c>
      <c r="B173" s="3">
        <v>45659</v>
      </c>
      <c r="C173" t="s">
        <v>190</v>
      </c>
      <c r="D173" t="s">
        <v>18</v>
      </c>
      <c r="E173">
        <v>55</v>
      </c>
      <c r="F173" t="s">
        <v>19</v>
      </c>
      <c r="G173" t="s">
        <v>44</v>
      </c>
      <c r="H173" t="s">
        <v>45</v>
      </c>
      <c r="I173">
        <v>4</v>
      </c>
      <c r="J173">
        <v>499</v>
      </c>
      <c r="K173">
        <v>1996</v>
      </c>
      <c r="L173">
        <v>0</v>
      </c>
      <c r="M173" t="s">
        <v>22</v>
      </c>
      <c r="N173" t="s">
        <v>31</v>
      </c>
      <c r="O173" t="s">
        <v>48</v>
      </c>
      <c r="P173" t="s">
        <v>25</v>
      </c>
    </row>
    <row r="174" spans="1:16" x14ac:dyDescent="0.25">
      <c r="A174" t="s">
        <v>348</v>
      </c>
      <c r="B174" s="3">
        <v>45674</v>
      </c>
      <c r="C174" t="s">
        <v>116</v>
      </c>
      <c r="D174" t="s">
        <v>35</v>
      </c>
      <c r="E174">
        <v>29</v>
      </c>
      <c r="F174" t="s">
        <v>124</v>
      </c>
      <c r="G174" t="s">
        <v>68</v>
      </c>
      <c r="H174" t="s">
        <v>73</v>
      </c>
      <c r="I174">
        <v>1</v>
      </c>
      <c r="J174">
        <v>999</v>
      </c>
      <c r="K174">
        <v>999</v>
      </c>
      <c r="L174">
        <v>15</v>
      </c>
      <c r="M174" t="s">
        <v>46</v>
      </c>
      <c r="N174" t="s">
        <v>61</v>
      </c>
      <c r="O174" t="s">
        <v>39</v>
      </c>
      <c r="P174" t="s">
        <v>157</v>
      </c>
    </row>
    <row r="175" spans="1:16" x14ac:dyDescent="0.25">
      <c r="A175" t="s">
        <v>349</v>
      </c>
      <c r="B175" s="3">
        <v>45992</v>
      </c>
      <c r="C175" t="s">
        <v>350</v>
      </c>
      <c r="D175" t="s">
        <v>18</v>
      </c>
      <c r="E175">
        <v>29</v>
      </c>
      <c r="F175" t="s">
        <v>28</v>
      </c>
      <c r="G175" t="s">
        <v>36</v>
      </c>
      <c r="H175" t="s">
        <v>156</v>
      </c>
      <c r="I175">
        <v>5</v>
      </c>
      <c r="J175">
        <v>299</v>
      </c>
      <c r="K175">
        <v>1495</v>
      </c>
      <c r="L175">
        <v>20</v>
      </c>
      <c r="M175" t="s">
        <v>53</v>
      </c>
      <c r="N175" t="s">
        <v>47</v>
      </c>
      <c r="O175" t="s">
        <v>24</v>
      </c>
      <c r="P175" t="s">
        <v>121</v>
      </c>
    </row>
    <row r="176" spans="1:16" x14ac:dyDescent="0.25">
      <c r="A176" t="s">
        <v>351</v>
      </c>
      <c r="B176" s="3">
        <v>45930</v>
      </c>
      <c r="C176" t="s">
        <v>42</v>
      </c>
      <c r="D176" t="s">
        <v>18</v>
      </c>
      <c r="E176">
        <v>33</v>
      </c>
      <c r="F176" t="s">
        <v>51</v>
      </c>
      <c r="G176" t="s">
        <v>44</v>
      </c>
      <c r="H176" t="s">
        <v>99</v>
      </c>
      <c r="I176">
        <v>5</v>
      </c>
      <c r="J176">
        <v>799</v>
      </c>
      <c r="K176">
        <v>3995</v>
      </c>
      <c r="L176">
        <v>10</v>
      </c>
      <c r="M176" t="s">
        <v>53</v>
      </c>
      <c r="N176" t="s">
        <v>31</v>
      </c>
      <c r="O176" t="s">
        <v>24</v>
      </c>
      <c r="P176" t="s">
        <v>203</v>
      </c>
    </row>
    <row r="177" spans="1:16" x14ac:dyDescent="0.25">
      <c r="A177" t="s">
        <v>352</v>
      </c>
      <c r="B177" s="3">
        <v>45781</v>
      </c>
      <c r="C177" t="s">
        <v>353</v>
      </c>
      <c r="D177" t="s">
        <v>18</v>
      </c>
      <c r="E177">
        <v>24</v>
      </c>
      <c r="F177" t="s">
        <v>98</v>
      </c>
      <c r="G177" t="s">
        <v>20</v>
      </c>
      <c r="H177" t="s">
        <v>120</v>
      </c>
      <c r="I177">
        <v>5</v>
      </c>
      <c r="J177">
        <v>199</v>
      </c>
      <c r="K177">
        <v>995</v>
      </c>
      <c r="L177">
        <v>15</v>
      </c>
      <c r="M177" t="s">
        <v>85</v>
      </c>
      <c r="N177" t="s">
        <v>23</v>
      </c>
      <c r="O177" t="s">
        <v>24</v>
      </c>
      <c r="P177" t="s">
        <v>117</v>
      </c>
    </row>
    <row r="178" spans="1:16" x14ac:dyDescent="0.25">
      <c r="A178" t="s">
        <v>354</v>
      </c>
      <c r="B178" s="3">
        <v>45769</v>
      </c>
      <c r="C178" t="s">
        <v>72</v>
      </c>
      <c r="D178" t="s">
        <v>18</v>
      </c>
      <c r="E178">
        <v>26</v>
      </c>
      <c r="F178" t="s">
        <v>43</v>
      </c>
      <c r="G178" t="s">
        <v>36</v>
      </c>
      <c r="H178" t="s">
        <v>355</v>
      </c>
      <c r="I178">
        <v>2</v>
      </c>
      <c r="J178">
        <v>1299</v>
      </c>
      <c r="K178">
        <v>2598</v>
      </c>
      <c r="L178">
        <v>5</v>
      </c>
      <c r="M178" t="s">
        <v>85</v>
      </c>
      <c r="N178" t="s">
        <v>31</v>
      </c>
      <c r="O178" t="s">
        <v>48</v>
      </c>
      <c r="P178" t="s">
        <v>40</v>
      </c>
    </row>
    <row r="179" spans="1:16" x14ac:dyDescent="0.25">
      <c r="A179" t="s">
        <v>356</v>
      </c>
      <c r="B179" s="3">
        <v>45996</v>
      </c>
      <c r="C179" t="s">
        <v>357</v>
      </c>
      <c r="D179" t="s">
        <v>18</v>
      </c>
      <c r="E179">
        <v>44</v>
      </c>
      <c r="F179" t="s">
        <v>43</v>
      </c>
      <c r="G179" t="s">
        <v>44</v>
      </c>
      <c r="H179" t="s">
        <v>235</v>
      </c>
      <c r="I179">
        <v>3</v>
      </c>
      <c r="J179">
        <v>299</v>
      </c>
      <c r="K179">
        <v>897</v>
      </c>
      <c r="L179">
        <v>10</v>
      </c>
      <c r="M179" t="s">
        <v>38</v>
      </c>
      <c r="N179" t="s">
        <v>47</v>
      </c>
      <c r="O179" t="s">
        <v>48</v>
      </c>
      <c r="P179" t="s">
        <v>134</v>
      </c>
    </row>
    <row r="180" spans="1:16" x14ac:dyDescent="0.25">
      <c r="A180" t="s">
        <v>358</v>
      </c>
      <c r="B180" s="3">
        <v>45987</v>
      </c>
      <c r="C180" t="s">
        <v>290</v>
      </c>
      <c r="D180" t="s">
        <v>35</v>
      </c>
      <c r="E180">
        <v>51</v>
      </c>
      <c r="F180" t="s">
        <v>60</v>
      </c>
      <c r="G180" t="s">
        <v>68</v>
      </c>
      <c r="H180" t="s">
        <v>69</v>
      </c>
      <c r="I180">
        <v>1</v>
      </c>
      <c r="J180">
        <v>599</v>
      </c>
      <c r="K180">
        <v>599</v>
      </c>
      <c r="L180">
        <v>15</v>
      </c>
      <c r="M180" t="s">
        <v>22</v>
      </c>
      <c r="N180" t="s">
        <v>47</v>
      </c>
      <c r="O180" t="s">
        <v>39</v>
      </c>
      <c r="P180" t="s">
        <v>157</v>
      </c>
    </row>
    <row r="181" spans="1:16" x14ac:dyDescent="0.25">
      <c r="A181" t="s">
        <v>359</v>
      </c>
      <c r="B181" s="3">
        <v>45773</v>
      </c>
      <c r="C181" t="s">
        <v>360</v>
      </c>
      <c r="D181" t="s">
        <v>18</v>
      </c>
      <c r="E181">
        <v>47</v>
      </c>
      <c r="F181" t="s">
        <v>98</v>
      </c>
      <c r="G181" t="s">
        <v>29</v>
      </c>
      <c r="H181" t="s">
        <v>200</v>
      </c>
      <c r="I181">
        <v>4</v>
      </c>
      <c r="J181">
        <v>399</v>
      </c>
      <c r="K181">
        <v>1596</v>
      </c>
      <c r="L181">
        <v>20</v>
      </c>
      <c r="M181" t="s">
        <v>22</v>
      </c>
      <c r="N181" t="s">
        <v>61</v>
      </c>
      <c r="O181" t="s">
        <v>48</v>
      </c>
      <c r="P181" t="s">
        <v>78</v>
      </c>
    </row>
    <row r="182" spans="1:16" x14ac:dyDescent="0.25">
      <c r="A182" t="s">
        <v>361</v>
      </c>
      <c r="B182" s="3">
        <v>45762</v>
      </c>
      <c r="C182" t="s">
        <v>119</v>
      </c>
      <c r="D182" t="s">
        <v>18</v>
      </c>
      <c r="E182">
        <v>46</v>
      </c>
      <c r="F182" t="s">
        <v>60</v>
      </c>
      <c r="G182" t="s">
        <v>29</v>
      </c>
      <c r="H182" t="s">
        <v>140</v>
      </c>
      <c r="I182">
        <v>2</v>
      </c>
      <c r="J182">
        <v>499</v>
      </c>
      <c r="K182">
        <v>998</v>
      </c>
      <c r="L182">
        <v>0</v>
      </c>
      <c r="M182" t="s">
        <v>85</v>
      </c>
      <c r="N182" t="s">
        <v>47</v>
      </c>
      <c r="O182" t="s">
        <v>24</v>
      </c>
      <c r="P182" t="s">
        <v>70</v>
      </c>
    </row>
    <row r="183" spans="1:16" x14ac:dyDescent="0.25">
      <c r="A183" t="s">
        <v>362</v>
      </c>
      <c r="B183" s="3">
        <v>45695</v>
      </c>
      <c r="C183" t="s">
        <v>266</v>
      </c>
      <c r="D183" t="s">
        <v>18</v>
      </c>
      <c r="E183">
        <v>48</v>
      </c>
      <c r="F183" t="s">
        <v>76</v>
      </c>
      <c r="G183" t="s">
        <v>36</v>
      </c>
      <c r="H183" t="s">
        <v>133</v>
      </c>
      <c r="I183">
        <v>5</v>
      </c>
      <c r="J183">
        <v>199</v>
      </c>
      <c r="K183">
        <v>995</v>
      </c>
      <c r="L183">
        <v>10</v>
      </c>
      <c r="M183" t="s">
        <v>46</v>
      </c>
      <c r="N183" t="s">
        <v>23</v>
      </c>
      <c r="O183" t="s">
        <v>24</v>
      </c>
      <c r="P183" t="s">
        <v>54</v>
      </c>
    </row>
    <row r="184" spans="1:16" x14ac:dyDescent="0.25">
      <c r="A184" t="s">
        <v>363</v>
      </c>
      <c r="B184" s="3">
        <v>45967</v>
      </c>
      <c r="C184" t="s">
        <v>257</v>
      </c>
      <c r="D184" t="s">
        <v>18</v>
      </c>
      <c r="E184">
        <v>43</v>
      </c>
      <c r="F184" t="s">
        <v>76</v>
      </c>
      <c r="G184" t="s">
        <v>20</v>
      </c>
      <c r="H184" t="s">
        <v>120</v>
      </c>
      <c r="I184">
        <v>2</v>
      </c>
      <c r="J184">
        <v>2499</v>
      </c>
      <c r="K184">
        <v>4998</v>
      </c>
      <c r="L184">
        <v>20</v>
      </c>
      <c r="M184" t="s">
        <v>46</v>
      </c>
      <c r="N184" t="s">
        <v>31</v>
      </c>
      <c r="O184" t="s">
        <v>39</v>
      </c>
      <c r="P184" t="s">
        <v>62</v>
      </c>
    </row>
    <row r="185" spans="1:16" x14ac:dyDescent="0.25">
      <c r="A185" t="s">
        <v>364</v>
      </c>
      <c r="B185" s="3">
        <v>45842</v>
      </c>
      <c r="C185" t="s">
        <v>205</v>
      </c>
      <c r="D185" t="s">
        <v>35</v>
      </c>
      <c r="E185">
        <v>47</v>
      </c>
      <c r="F185" t="s">
        <v>19</v>
      </c>
      <c r="G185" t="s">
        <v>68</v>
      </c>
      <c r="H185" t="s">
        <v>171</v>
      </c>
      <c r="I185">
        <v>3</v>
      </c>
      <c r="J185">
        <v>499</v>
      </c>
      <c r="K185">
        <v>1497</v>
      </c>
      <c r="L185">
        <v>15</v>
      </c>
      <c r="M185" t="s">
        <v>46</v>
      </c>
      <c r="N185" t="s">
        <v>47</v>
      </c>
      <c r="O185" t="s">
        <v>39</v>
      </c>
      <c r="P185" t="s">
        <v>57</v>
      </c>
    </row>
    <row r="186" spans="1:16" x14ac:dyDescent="0.25">
      <c r="A186" t="s">
        <v>365</v>
      </c>
      <c r="B186" s="3">
        <v>45732</v>
      </c>
      <c r="C186" t="s">
        <v>366</v>
      </c>
      <c r="D186" t="s">
        <v>35</v>
      </c>
      <c r="E186">
        <v>53</v>
      </c>
      <c r="F186" t="s">
        <v>28</v>
      </c>
      <c r="G186" t="s">
        <v>36</v>
      </c>
      <c r="H186" t="s">
        <v>156</v>
      </c>
      <c r="I186">
        <v>5</v>
      </c>
      <c r="J186">
        <v>399</v>
      </c>
      <c r="K186">
        <v>1995</v>
      </c>
      <c r="L186">
        <v>10</v>
      </c>
      <c r="M186" t="s">
        <v>53</v>
      </c>
      <c r="N186" t="s">
        <v>47</v>
      </c>
      <c r="O186" t="s">
        <v>39</v>
      </c>
      <c r="P186" t="s">
        <v>89</v>
      </c>
    </row>
    <row r="187" spans="1:16" x14ac:dyDescent="0.25">
      <c r="A187" t="s">
        <v>367</v>
      </c>
      <c r="B187" s="3">
        <v>45939</v>
      </c>
      <c r="C187" t="s">
        <v>164</v>
      </c>
      <c r="D187" t="s">
        <v>35</v>
      </c>
      <c r="E187">
        <v>34</v>
      </c>
      <c r="F187" t="s">
        <v>51</v>
      </c>
      <c r="G187" t="s">
        <v>36</v>
      </c>
      <c r="H187" t="s">
        <v>133</v>
      </c>
      <c r="I187">
        <v>2</v>
      </c>
      <c r="J187">
        <v>999</v>
      </c>
      <c r="K187">
        <v>1998</v>
      </c>
      <c r="L187">
        <v>15</v>
      </c>
      <c r="M187" t="s">
        <v>22</v>
      </c>
      <c r="N187" t="s">
        <v>47</v>
      </c>
      <c r="O187" t="s">
        <v>48</v>
      </c>
      <c r="P187" t="s">
        <v>125</v>
      </c>
    </row>
    <row r="188" spans="1:16" x14ac:dyDescent="0.25">
      <c r="A188" t="s">
        <v>368</v>
      </c>
      <c r="B188" s="3">
        <v>45752</v>
      </c>
      <c r="C188" t="s">
        <v>114</v>
      </c>
      <c r="D188" t="s">
        <v>18</v>
      </c>
      <c r="E188">
        <v>51</v>
      </c>
      <c r="F188" t="s">
        <v>98</v>
      </c>
      <c r="G188" t="s">
        <v>29</v>
      </c>
      <c r="H188" t="s">
        <v>30</v>
      </c>
      <c r="I188">
        <v>5</v>
      </c>
      <c r="J188">
        <v>999</v>
      </c>
      <c r="K188">
        <v>4995</v>
      </c>
      <c r="L188">
        <v>0</v>
      </c>
      <c r="M188" t="s">
        <v>38</v>
      </c>
      <c r="N188" t="s">
        <v>23</v>
      </c>
      <c r="O188" t="s">
        <v>39</v>
      </c>
      <c r="P188" t="s">
        <v>65</v>
      </c>
    </row>
    <row r="189" spans="1:16" x14ac:dyDescent="0.25">
      <c r="A189" t="s">
        <v>369</v>
      </c>
      <c r="B189" s="3">
        <v>45769</v>
      </c>
      <c r="C189" t="s">
        <v>370</v>
      </c>
      <c r="D189" t="s">
        <v>35</v>
      </c>
      <c r="E189">
        <v>41</v>
      </c>
      <c r="F189" t="s">
        <v>98</v>
      </c>
      <c r="G189" t="s">
        <v>29</v>
      </c>
      <c r="H189" t="s">
        <v>108</v>
      </c>
      <c r="I189">
        <v>2</v>
      </c>
      <c r="J189">
        <v>199</v>
      </c>
      <c r="K189">
        <v>398</v>
      </c>
      <c r="L189">
        <v>20</v>
      </c>
      <c r="M189" t="s">
        <v>85</v>
      </c>
      <c r="N189" t="s">
        <v>61</v>
      </c>
      <c r="O189" t="s">
        <v>48</v>
      </c>
      <c r="P189" t="s">
        <v>82</v>
      </c>
    </row>
    <row r="190" spans="1:16" x14ac:dyDescent="0.25">
      <c r="A190" t="s">
        <v>371</v>
      </c>
      <c r="B190" s="3">
        <v>45868</v>
      </c>
      <c r="C190" t="s">
        <v>372</v>
      </c>
      <c r="D190" t="s">
        <v>18</v>
      </c>
      <c r="E190">
        <v>51</v>
      </c>
      <c r="F190" t="s">
        <v>43</v>
      </c>
      <c r="G190" t="s">
        <v>20</v>
      </c>
      <c r="H190" t="s">
        <v>21</v>
      </c>
      <c r="I190">
        <v>5</v>
      </c>
      <c r="J190">
        <v>1299</v>
      </c>
      <c r="K190">
        <v>6495</v>
      </c>
      <c r="L190">
        <v>20</v>
      </c>
      <c r="M190" t="s">
        <v>46</v>
      </c>
      <c r="N190" t="s">
        <v>23</v>
      </c>
      <c r="O190" t="s">
        <v>48</v>
      </c>
      <c r="P190" t="s">
        <v>134</v>
      </c>
    </row>
    <row r="191" spans="1:16" x14ac:dyDescent="0.25">
      <c r="A191" t="s">
        <v>373</v>
      </c>
      <c r="B191" s="3">
        <v>45734</v>
      </c>
      <c r="C191" t="s">
        <v>202</v>
      </c>
      <c r="D191" t="s">
        <v>18</v>
      </c>
      <c r="E191">
        <v>57</v>
      </c>
      <c r="F191" t="s">
        <v>43</v>
      </c>
      <c r="G191" t="s">
        <v>29</v>
      </c>
      <c r="H191" t="s">
        <v>108</v>
      </c>
      <c r="I191">
        <v>1</v>
      </c>
      <c r="J191">
        <v>1299</v>
      </c>
      <c r="K191">
        <v>1299</v>
      </c>
      <c r="L191">
        <v>10</v>
      </c>
      <c r="M191" t="s">
        <v>46</v>
      </c>
      <c r="N191" t="s">
        <v>61</v>
      </c>
      <c r="O191" t="s">
        <v>24</v>
      </c>
      <c r="P191" t="s">
        <v>125</v>
      </c>
    </row>
    <row r="192" spans="1:16" x14ac:dyDescent="0.25">
      <c r="A192" t="s">
        <v>374</v>
      </c>
      <c r="B192" s="3">
        <v>46014</v>
      </c>
      <c r="C192" t="s">
        <v>276</v>
      </c>
      <c r="D192" t="s">
        <v>35</v>
      </c>
      <c r="E192">
        <v>23</v>
      </c>
      <c r="F192" t="s">
        <v>98</v>
      </c>
      <c r="G192" t="s">
        <v>36</v>
      </c>
      <c r="H192" t="s">
        <v>355</v>
      </c>
      <c r="I192">
        <v>5</v>
      </c>
      <c r="J192">
        <v>399</v>
      </c>
      <c r="K192">
        <v>1995</v>
      </c>
      <c r="L192">
        <v>0</v>
      </c>
      <c r="M192" t="s">
        <v>22</v>
      </c>
      <c r="N192" t="s">
        <v>61</v>
      </c>
      <c r="O192" t="s">
        <v>39</v>
      </c>
      <c r="P192" t="s">
        <v>103</v>
      </c>
    </row>
    <row r="193" spans="1:16" x14ac:dyDescent="0.25">
      <c r="A193" t="s">
        <v>375</v>
      </c>
      <c r="B193" s="3">
        <v>45745</v>
      </c>
      <c r="C193" t="s">
        <v>272</v>
      </c>
      <c r="D193" t="s">
        <v>35</v>
      </c>
      <c r="E193">
        <v>45</v>
      </c>
      <c r="F193" t="s">
        <v>60</v>
      </c>
      <c r="G193" t="s">
        <v>36</v>
      </c>
      <c r="H193" t="s">
        <v>156</v>
      </c>
      <c r="I193">
        <v>1</v>
      </c>
      <c r="J193">
        <v>2499</v>
      </c>
      <c r="K193">
        <v>2499</v>
      </c>
      <c r="L193">
        <v>20</v>
      </c>
      <c r="M193" t="s">
        <v>38</v>
      </c>
      <c r="N193" t="s">
        <v>23</v>
      </c>
      <c r="O193" t="s">
        <v>24</v>
      </c>
      <c r="P193" t="s">
        <v>54</v>
      </c>
    </row>
    <row r="194" spans="1:16" x14ac:dyDescent="0.25">
      <c r="A194" t="s">
        <v>376</v>
      </c>
      <c r="B194" s="3">
        <v>45696</v>
      </c>
      <c r="C194" t="s">
        <v>377</v>
      </c>
      <c r="D194" t="s">
        <v>35</v>
      </c>
      <c r="E194">
        <v>52</v>
      </c>
      <c r="F194" t="s">
        <v>98</v>
      </c>
      <c r="G194" t="s">
        <v>68</v>
      </c>
      <c r="H194" t="s">
        <v>69</v>
      </c>
      <c r="I194">
        <v>3</v>
      </c>
      <c r="J194">
        <v>199</v>
      </c>
      <c r="K194">
        <v>597</v>
      </c>
      <c r="L194">
        <v>5</v>
      </c>
      <c r="M194" t="s">
        <v>46</v>
      </c>
      <c r="N194" t="s">
        <v>23</v>
      </c>
      <c r="O194" t="s">
        <v>24</v>
      </c>
      <c r="P194" t="s">
        <v>193</v>
      </c>
    </row>
    <row r="195" spans="1:16" x14ac:dyDescent="0.25">
      <c r="A195" t="s">
        <v>378</v>
      </c>
      <c r="B195" s="3">
        <v>45741</v>
      </c>
      <c r="C195" t="s">
        <v>302</v>
      </c>
      <c r="D195" t="s">
        <v>18</v>
      </c>
      <c r="E195">
        <v>54</v>
      </c>
      <c r="F195" t="s">
        <v>28</v>
      </c>
      <c r="G195" t="s">
        <v>29</v>
      </c>
      <c r="H195" t="s">
        <v>140</v>
      </c>
      <c r="I195">
        <v>1</v>
      </c>
      <c r="J195">
        <v>499</v>
      </c>
      <c r="K195">
        <v>499</v>
      </c>
      <c r="L195">
        <v>20</v>
      </c>
      <c r="M195" t="s">
        <v>46</v>
      </c>
      <c r="N195" t="s">
        <v>61</v>
      </c>
      <c r="O195" t="s">
        <v>48</v>
      </c>
      <c r="P195" t="s">
        <v>65</v>
      </c>
    </row>
    <row r="196" spans="1:16" x14ac:dyDescent="0.25">
      <c r="A196" t="s">
        <v>379</v>
      </c>
      <c r="B196" s="3">
        <v>45708</v>
      </c>
      <c r="C196" t="s">
        <v>296</v>
      </c>
      <c r="D196" t="s">
        <v>18</v>
      </c>
      <c r="E196">
        <v>22</v>
      </c>
      <c r="F196" t="s">
        <v>60</v>
      </c>
      <c r="G196" t="s">
        <v>20</v>
      </c>
      <c r="H196" t="s">
        <v>81</v>
      </c>
      <c r="I196">
        <v>3</v>
      </c>
      <c r="J196">
        <v>199</v>
      </c>
      <c r="K196">
        <v>597</v>
      </c>
      <c r="L196">
        <v>20</v>
      </c>
      <c r="M196" t="s">
        <v>85</v>
      </c>
      <c r="N196" t="s">
        <v>61</v>
      </c>
      <c r="O196" t="s">
        <v>39</v>
      </c>
      <c r="P196" t="s">
        <v>121</v>
      </c>
    </row>
    <row r="197" spans="1:16" x14ac:dyDescent="0.25">
      <c r="A197" t="s">
        <v>380</v>
      </c>
      <c r="B197" s="3">
        <v>45840</v>
      </c>
      <c r="C197" t="s">
        <v>97</v>
      </c>
      <c r="D197" t="s">
        <v>35</v>
      </c>
      <c r="E197">
        <v>45</v>
      </c>
      <c r="F197" t="s">
        <v>124</v>
      </c>
      <c r="G197" t="s">
        <v>44</v>
      </c>
      <c r="H197" t="s">
        <v>99</v>
      </c>
      <c r="I197">
        <v>4</v>
      </c>
      <c r="J197">
        <v>399</v>
      </c>
      <c r="K197">
        <v>1596</v>
      </c>
      <c r="L197">
        <v>20</v>
      </c>
      <c r="M197" t="s">
        <v>22</v>
      </c>
      <c r="N197" t="s">
        <v>23</v>
      </c>
      <c r="O197" t="s">
        <v>48</v>
      </c>
      <c r="P197" t="s">
        <v>86</v>
      </c>
    </row>
    <row r="198" spans="1:16" x14ac:dyDescent="0.25">
      <c r="A198" t="s">
        <v>381</v>
      </c>
      <c r="B198" s="3">
        <v>45736</v>
      </c>
      <c r="C198" t="s">
        <v>42</v>
      </c>
      <c r="D198" t="s">
        <v>18</v>
      </c>
      <c r="E198">
        <v>42</v>
      </c>
      <c r="F198" t="s">
        <v>60</v>
      </c>
      <c r="G198" t="s">
        <v>29</v>
      </c>
      <c r="H198" t="s">
        <v>108</v>
      </c>
      <c r="I198">
        <v>1</v>
      </c>
      <c r="J198">
        <v>499</v>
      </c>
      <c r="K198">
        <v>499</v>
      </c>
      <c r="L198">
        <v>10</v>
      </c>
      <c r="M198" t="s">
        <v>38</v>
      </c>
      <c r="N198" t="s">
        <v>23</v>
      </c>
      <c r="O198" t="s">
        <v>24</v>
      </c>
      <c r="P198" t="s">
        <v>86</v>
      </c>
    </row>
    <row r="199" spans="1:16" x14ac:dyDescent="0.25">
      <c r="A199" t="s">
        <v>382</v>
      </c>
      <c r="B199" s="3">
        <v>45725</v>
      </c>
      <c r="C199" t="s">
        <v>313</v>
      </c>
      <c r="D199" t="s">
        <v>18</v>
      </c>
      <c r="E199">
        <v>45</v>
      </c>
      <c r="F199" t="s">
        <v>51</v>
      </c>
      <c r="G199" t="s">
        <v>36</v>
      </c>
      <c r="H199" t="s">
        <v>37</v>
      </c>
      <c r="I199">
        <v>3</v>
      </c>
      <c r="J199">
        <v>249</v>
      </c>
      <c r="K199">
        <v>747</v>
      </c>
      <c r="L199">
        <v>20</v>
      </c>
      <c r="M199" t="s">
        <v>85</v>
      </c>
      <c r="N199" t="s">
        <v>61</v>
      </c>
      <c r="O199" t="s">
        <v>24</v>
      </c>
      <c r="P199" t="s">
        <v>121</v>
      </c>
    </row>
    <row r="200" spans="1:16" x14ac:dyDescent="0.25">
      <c r="A200" t="s">
        <v>383</v>
      </c>
      <c r="B200" s="3">
        <v>45963</v>
      </c>
      <c r="C200" t="s">
        <v>270</v>
      </c>
      <c r="D200" t="s">
        <v>35</v>
      </c>
      <c r="E200">
        <v>42</v>
      </c>
      <c r="F200" t="s">
        <v>98</v>
      </c>
      <c r="G200" t="s">
        <v>20</v>
      </c>
      <c r="H200" t="s">
        <v>77</v>
      </c>
      <c r="I200">
        <v>5</v>
      </c>
      <c r="J200">
        <v>249</v>
      </c>
      <c r="K200">
        <v>1245</v>
      </c>
      <c r="L200">
        <v>10</v>
      </c>
      <c r="M200" t="s">
        <v>22</v>
      </c>
      <c r="N200" t="s">
        <v>61</v>
      </c>
      <c r="O200" t="s">
        <v>24</v>
      </c>
      <c r="P200" t="s">
        <v>103</v>
      </c>
    </row>
    <row r="201" spans="1:16" x14ac:dyDescent="0.25">
      <c r="A201" t="s">
        <v>384</v>
      </c>
      <c r="B201" s="3">
        <v>46008</v>
      </c>
      <c r="C201" t="s">
        <v>42</v>
      </c>
      <c r="D201" t="s">
        <v>18</v>
      </c>
      <c r="E201">
        <v>26</v>
      </c>
      <c r="F201" t="s">
        <v>43</v>
      </c>
      <c r="G201" t="s">
        <v>29</v>
      </c>
      <c r="H201" t="s">
        <v>200</v>
      </c>
      <c r="I201">
        <v>5</v>
      </c>
      <c r="J201">
        <v>299</v>
      </c>
      <c r="K201">
        <v>1495</v>
      </c>
      <c r="L201">
        <v>10</v>
      </c>
      <c r="M201" t="s">
        <v>46</v>
      </c>
      <c r="N201" t="s">
        <v>61</v>
      </c>
      <c r="O201" t="s">
        <v>24</v>
      </c>
      <c r="P201" t="s">
        <v>25</v>
      </c>
    </row>
    <row r="202" spans="1:16" x14ac:dyDescent="0.25">
      <c r="A202" t="s">
        <v>385</v>
      </c>
      <c r="B202" s="3">
        <v>45811</v>
      </c>
      <c r="C202" t="s">
        <v>182</v>
      </c>
      <c r="D202" t="s">
        <v>18</v>
      </c>
      <c r="E202">
        <v>41</v>
      </c>
      <c r="F202" t="s">
        <v>43</v>
      </c>
      <c r="G202" t="s">
        <v>29</v>
      </c>
      <c r="H202" t="s">
        <v>140</v>
      </c>
      <c r="I202">
        <v>3</v>
      </c>
      <c r="J202">
        <v>799</v>
      </c>
      <c r="K202">
        <v>2397</v>
      </c>
      <c r="L202">
        <v>5</v>
      </c>
      <c r="M202" t="s">
        <v>22</v>
      </c>
      <c r="N202" t="s">
        <v>47</v>
      </c>
      <c r="O202" t="s">
        <v>39</v>
      </c>
      <c r="P202" t="s">
        <v>203</v>
      </c>
    </row>
    <row r="203" spans="1:16" x14ac:dyDescent="0.25">
      <c r="A203" t="s">
        <v>386</v>
      </c>
      <c r="B203" s="3">
        <v>45828</v>
      </c>
      <c r="C203" t="s">
        <v>142</v>
      </c>
      <c r="D203" t="s">
        <v>35</v>
      </c>
      <c r="E203">
        <v>39</v>
      </c>
      <c r="F203" t="s">
        <v>51</v>
      </c>
      <c r="G203" t="s">
        <v>29</v>
      </c>
      <c r="H203" t="s">
        <v>64</v>
      </c>
      <c r="I203">
        <v>1</v>
      </c>
      <c r="J203">
        <v>799</v>
      </c>
      <c r="K203">
        <v>799</v>
      </c>
      <c r="L203">
        <v>10</v>
      </c>
      <c r="M203" t="s">
        <v>22</v>
      </c>
      <c r="N203" t="s">
        <v>47</v>
      </c>
      <c r="O203" t="s">
        <v>39</v>
      </c>
      <c r="P203" t="s">
        <v>57</v>
      </c>
    </row>
    <row r="204" spans="1:16" x14ac:dyDescent="0.25">
      <c r="A204" t="s">
        <v>387</v>
      </c>
      <c r="B204" s="3">
        <v>45748</v>
      </c>
      <c r="C204" t="s">
        <v>388</v>
      </c>
      <c r="D204" t="s">
        <v>35</v>
      </c>
      <c r="E204">
        <v>36</v>
      </c>
      <c r="F204" t="s">
        <v>51</v>
      </c>
      <c r="G204" t="s">
        <v>68</v>
      </c>
      <c r="H204" t="s">
        <v>137</v>
      </c>
      <c r="I204">
        <v>4</v>
      </c>
      <c r="J204">
        <v>599</v>
      </c>
      <c r="K204">
        <v>2396</v>
      </c>
      <c r="L204">
        <v>20</v>
      </c>
      <c r="M204" t="s">
        <v>53</v>
      </c>
      <c r="N204" t="s">
        <v>31</v>
      </c>
      <c r="O204" t="s">
        <v>39</v>
      </c>
      <c r="P204" t="s">
        <v>70</v>
      </c>
    </row>
    <row r="205" spans="1:16" x14ac:dyDescent="0.25">
      <c r="A205" t="s">
        <v>389</v>
      </c>
      <c r="B205" s="3">
        <v>45760</v>
      </c>
      <c r="C205" t="s">
        <v>310</v>
      </c>
      <c r="D205" t="s">
        <v>18</v>
      </c>
      <c r="E205">
        <v>53</v>
      </c>
      <c r="F205" t="s">
        <v>98</v>
      </c>
      <c r="G205" t="s">
        <v>36</v>
      </c>
      <c r="H205" t="s">
        <v>37</v>
      </c>
      <c r="I205">
        <v>1</v>
      </c>
      <c r="J205">
        <v>1499</v>
      </c>
      <c r="K205">
        <v>1499</v>
      </c>
      <c r="L205">
        <v>15</v>
      </c>
      <c r="M205" t="s">
        <v>53</v>
      </c>
      <c r="N205" t="s">
        <v>61</v>
      </c>
      <c r="O205" t="s">
        <v>39</v>
      </c>
      <c r="P205" t="s">
        <v>25</v>
      </c>
    </row>
    <row r="206" spans="1:16" x14ac:dyDescent="0.25">
      <c r="A206" t="s">
        <v>390</v>
      </c>
      <c r="B206" s="3">
        <v>45813</v>
      </c>
      <c r="C206" t="s">
        <v>202</v>
      </c>
      <c r="D206" t="s">
        <v>35</v>
      </c>
      <c r="E206">
        <v>60</v>
      </c>
      <c r="F206" t="s">
        <v>124</v>
      </c>
      <c r="G206" t="s">
        <v>36</v>
      </c>
      <c r="H206" t="s">
        <v>355</v>
      </c>
      <c r="I206">
        <v>2</v>
      </c>
      <c r="J206">
        <v>1999</v>
      </c>
      <c r="K206">
        <v>3998</v>
      </c>
      <c r="L206">
        <v>15</v>
      </c>
      <c r="M206" t="s">
        <v>22</v>
      </c>
      <c r="N206" t="s">
        <v>23</v>
      </c>
      <c r="O206" t="s">
        <v>39</v>
      </c>
      <c r="P206" t="s">
        <v>40</v>
      </c>
    </row>
    <row r="207" spans="1:16" x14ac:dyDescent="0.25">
      <c r="A207" t="s">
        <v>391</v>
      </c>
      <c r="B207" s="3">
        <v>45917</v>
      </c>
      <c r="C207" t="s">
        <v>153</v>
      </c>
      <c r="D207" t="s">
        <v>35</v>
      </c>
      <c r="E207">
        <v>52</v>
      </c>
      <c r="F207" t="s">
        <v>98</v>
      </c>
      <c r="G207" t="s">
        <v>36</v>
      </c>
      <c r="H207" t="s">
        <v>133</v>
      </c>
      <c r="I207">
        <v>4</v>
      </c>
      <c r="J207">
        <v>1299</v>
      </c>
      <c r="K207">
        <v>5196</v>
      </c>
      <c r="L207">
        <v>10</v>
      </c>
      <c r="M207" t="s">
        <v>85</v>
      </c>
      <c r="N207" t="s">
        <v>23</v>
      </c>
      <c r="O207" t="s">
        <v>24</v>
      </c>
      <c r="P207" t="s">
        <v>89</v>
      </c>
    </row>
    <row r="208" spans="1:16" x14ac:dyDescent="0.25">
      <c r="A208" t="s">
        <v>392</v>
      </c>
      <c r="B208" s="3">
        <v>45946</v>
      </c>
      <c r="C208" t="s">
        <v>229</v>
      </c>
      <c r="D208" t="s">
        <v>35</v>
      </c>
      <c r="E208">
        <v>39</v>
      </c>
      <c r="F208" t="s">
        <v>28</v>
      </c>
      <c r="G208" t="s">
        <v>44</v>
      </c>
      <c r="H208" t="s">
        <v>235</v>
      </c>
      <c r="I208">
        <v>5</v>
      </c>
      <c r="J208">
        <v>199</v>
      </c>
      <c r="K208">
        <v>995</v>
      </c>
      <c r="L208">
        <v>0</v>
      </c>
      <c r="M208" t="s">
        <v>38</v>
      </c>
      <c r="N208" t="s">
        <v>23</v>
      </c>
      <c r="O208" t="s">
        <v>39</v>
      </c>
      <c r="P208" t="s">
        <v>89</v>
      </c>
    </row>
    <row r="209" spans="1:16" x14ac:dyDescent="0.25">
      <c r="A209" t="s">
        <v>393</v>
      </c>
      <c r="B209" s="3">
        <v>46010</v>
      </c>
      <c r="C209" t="s">
        <v>132</v>
      </c>
      <c r="D209" t="s">
        <v>18</v>
      </c>
      <c r="E209">
        <v>46</v>
      </c>
      <c r="F209" t="s">
        <v>60</v>
      </c>
      <c r="G209" t="s">
        <v>68</v>
      </c>
      <c r="H209" t="s">
        <v>94</v>
      </c>
      <c r="I209">
        <v>5</v>
      </c>
      <c r="J209">
        <v>1499</v>
      </c>
      <c r="K209">
        <v>7495</v>
      </c>
      <c r="L209">
        <v>15</v>
      </c>
      <c r="M209" t="s">
        <v>22</v>
      </c>
      <c r="N209" t="s">
        <v>47</v>
      </c>
      <c r="O209" t="s">
        <v>39</v>
      </c>
      <c r="P209" t="s">
        <v>121</v>
      </c>
    </row>
    <row r="210" spans="1:16" x14ac:dyDescent="0.25">
      <c r="A210" t="s">
        <v>394</v>
      </c>
      <c r="B210" s="3">
        <v>45701</v>
      </c>
      <c r="C210" t="s">
        <v>80</v>
      </c>
      <c r="D210" t="s">
        <v>18</v>
      </c>
      <c r="E210">
        <v>40</v>
      </c>
      <c r="F210" t="s">
        <v>43</v>
      </c>
      <c r="G210" t="s">
        <v>36</v>
      </c>
      <c r="H210" t="s">
        <v>156</v>
      </c>
      <c r="I210">
        <v>3</v>
      </c>
      <c r="J210">
        <v>799</v>
      </c>
      <c r="K210">
        <v>2397</v>
      </c>
      <c r="L210">
        <v>10</v>
      </c>
      <c r="M210" t="s">
        <v>22</v>
      </c>
      <c r="N210" t="s">
        <v>47</v>
      </c>
      <c r="O210" t="s">
        <v>48</v>
      </c>
      <c r="P210" t="s">
        <v>82</v>
      </c>
    </row>
    <row r="211" spans="1:16" x14ac:dyDescent="0.25">
      <c r="A211" t="s">
        <v>395</v>
      </c>
      <c r="B211" s="3">
        <v>46014</v>
      </c>
      <c r="C211" t="s">
        <v>186</v>
      </c>
      <c r="D211" t="s">
        <v>35</v>
      </c>
      <c r="E211">
        <v>22</v>
      </c>
      <c r="F211" t="s">
        <v>43</v>
      </c>
      <c r="G211" t="s">
        <v>44</v>
      </c>
      <c r="H211" t="s">
        <v>99</v>
      </c>
      <c r="I211">
        <v>1</v>
      </c>
      <c r="J211">
        <v>999</v>
      </c>
      <c r="K211">
        <v>999</v>
      </c>
      <c r="L211">
        <v>0</v>
      </c>
      <c r="M211" t="s">
        <v>38</v>
      </c>
      <c r="N211" t="s">
        <v>23</v>
      </c>
      <c r="O211" t="s">
        <v>39</v>
      </c>
      <c r="P211" t="s">
        <v>203</v>
      </c>
    </row>
    <row r="212" spans="1:16" x14ac:dyDescent="0.25">
      <c r="A212" t="s">
        <v>396</v>
      </c>
      <c r="B212" s="3">
        <v>45940</v>
      </c>
      <c r="C212" t="s">
        <v>218</v>
      </c>
      <c r="D212" t="s">
        <v>35</v>
      </c>
      <c r="E212">
        <v>53</v>
      </c>
      <c r="F212" t="s">
        <v>28</v>
      </c>
      <c r="G212" t="s">
        <v>29</v>
      </c>
      <c r="H212" t="s">
        <v>30</v>
      </c>
      <c r="I212">
        <v>5</v>
      </c>
      <c r="J212">
        <v>299</v>
      </c>
      <c r="K212">
        <v>1495</v>
      </c>
      <c r="L212">
        <v>15</v>
      </c>
      <c r="M212" t="s">
        <v>53</v>
      </c>
      <c r="N212" t="s">
        <v>61</v>
      </c>
      <c r="O212" t="s">
        <v>48</v>
      </c>
      <c r="P212" t="s">
        <v>32</v>
      </c>
    </row>
    <row r="213" spans="1:16" x14ac:dyDescent="0.25">
      <c r="A213" t="s">
        <v>397</v>
      </c>
      <c r="B213" s="3">
        <v>45972</v>
      </c>
      <c r="C213" t="s">
        <v>280</v>
      </c>
      <c r="D213" t="s">
        <v>35</v>
      </c>
      <c r="E213">
        <v>55</v>
      </c>
      <c r="F213" t="s">
        <v>28</v>
      </c>
      <c r="G213" t="s">
        <v>29</v>
      </c>
      <c r="H213" t="s">
        <v>140</v>
      </c>
      <c r="I213">
        <v>4</v>
      </c>
      <c r="J213">
        <v>199</v>
      </c>
      <c r="K213">
        <v>796</v>
      </c>
      <c r="L213">
        <v>15</v>
      </c>
      <c r="M213" t="s">
        <v>38</v>
      </c>
      <c r="N213" t="s">
        <v>47</v>
      </c>
      <c r="O213" t="s">
        <v>24</v>
      </c>
      <c r="P213" t="s">
        <v>70</v>
      </c>
    </row>
    <row r="214" spans="1:16" x14ac:dyDescent="0.25">
      <c r="A214" t="s">
        <v>398</v>
      </c>
      <c r="B214" s="3">
        <v>45753</v>
      </c>
      <c r="C214" t="s">
        <v>342</v>
      </c>
      <c r="D214" t="s">
        <v>35</v>
      </c>
      <c r="E214">
        <v>30</v>
      </c>
      <c r="F214" t="s">
        <v>51</v>
      </c>
      <c r="G214" t="s">
        <v>20</v>
      </c>
      <c r="H214" t="s">
        <v>81</v>
      </c>
      <c r="I214">
        <v>1</v>
      </c>
      <c r="J214">
        <v>1299</v>
      </c>
      <c r="K214">
        <v>1299</v>
      </c>
      <c r="L214">
        <v>0</v>
      </c>
      <c r="M214" t="s">
        <v>46</v>
      </c>
      <c r="N214" t="s">
        <v>61</v>
      </c>
      <c r="O214" t="s">
        <v>48</v>
      </c>
      <c r="P214" t="s">
        <v>57</v>
      </c>
    </row>
    <row r="215" spans="1:16" x14ac:dyDescent="0.25">
      <c r="A215" t="s">
        <v>399</v>
      </c>
      <c r="B215" s="3">
        <v>45958</v>
      </c>
      <c r="C215" t="s">
        <v>80</v>
      </c>
      <c r="D215" t="s">
        <v>35</v>
      </c>
      <c r="E215">
        <v>40</v>
      </c>
      <c r="F215" t="s">
        <v>51</v>
      </c>
      <c r="G215" t="s">
        <v>68</v>
      </c>
      <c r="H215" t="s">
        <v>69</v>
      </c>
      <c r="I215">
        <v>5</v>
      </c>
      <c r="J215">
        <v>799</v>
      </c>
      <c r="K215">
        <v>3995</v>
      </c>
      <c r="L215">
        <v>20</v>
      </c>
      <c r="M215" t="s">
        <v>53</v>
      </c>
      <c r="N215" t="s">
        <v>31</v>
      </c>
      <c r="O215" t="s">
        <v>48</v>
      </c>
      <c r="P215" t="s">
        <v>193</v>
      </c>
    </row>
    <row r="216" spans="1:16" x14ac:dyDescent="0.25">
      <c r="A216" t="s">
        <v>400</v>
      </c>
      <c r="B216" s="3">
        <v>45780</v>
      </c>
      <c r="C216" t="s">
        <v>294</v>
      </c>
      <c r="D216" t="s">
        <v>18</v>
      </c>
      <c r="E216">
        <v>29</v>
      </c>
      <c r="F216" t="s">
        <v>60</v>
      </c>
      <c r="G216" t="s">
        <v>20</v>
      </c>
      <c r="H216" t="s">
        <v>52</v>
      </c>
      <c r="I216">
        <v>3</v>
      </c>
      <c r="J216">
        <v>249</v>
      </c>
      <c r="K216">
        <v>747</v>
      </c>
      <c r="L216">
        <v>5</v>
      </c>
      <c r="M216" t="s">
        <v>85</v>
      </c>
      <c r="N216" t="s">
        <v>61</v>
      </c>
      <c r="O216" t="s">
        <v>39</v>
      </c>
      <c r="P216" t="s">
        <v>40</v>
      </c>
    </row>
    <row r="217" spans="1:16" x14ac:dyDescent="0.25">
      <c r="A217" t="s">
        <v>401</v>
      </c>
      <c r="B217" s="3">
        <v>45753</v>
      </c>
      <c r="C217" t="s">
        <v>159</v>
      </c>
      <c r="D217" t="s">
        <v>18</v>
      </c>
      <c r="E217">
        <v>53</v>
      </c>
      <c r="F217" t="s">
        <v>124</v>
      </c>
      <c r="G217" t="s">
        <v>29</v>
      </c>
      <c r="H217" t="s">
        <v>200</v>
      </c>
      <c r="I217">
        <v>4</v>
      </c>
      <c r="J217">
        <v>799</v>
      </c>
      <c r="K217">
        <v>3196</v>
      </c>
      <c r="L217">
        <v>15</v>
      </c>
      <c r="M217" t="s">
        <v>46</v>
      </c>
      <c r="N217" t="s">
        <v>47</v>
      </c>
      <c r="O217" t="s">
        <v>24</v>
      </c>
      <c r="P217" t="s">
        <v>57</v>
      </c>
    </row>
    <row r="218" spans="1:16" x14ac:dyDescent="0.25">
      <c r="A218" t="s">
        <v>402</v>
      </c>
      <c r="B218" s="3">
        <v>45662</v>
      </c>
      <c r="C218" t="s">
        <v>159</v>
      </c>
      <c r="D218" t="s">
        <v>18</v>
      </c>
      <c r="E218">
        <v>30</v>
      </c>
      <c r="F218" t="s">
        <v>28</v>
      </c>
      <c r="G218" t="s">
        <v>36</v>
      </c>
      <c r="H218" t="s">
        <v>133</v>
      </c>
      <c r="I218">
        <v>1</v>
      </c>
      <c r="J218">
        <v>599</v>
      </c>
      <c r="K218">
        <v>599</v>
      </c>
      <c r="L218">
        <v>20</v>
      </c>
      <c r="M218" t="s">
        <v>85</v>
      </c>
      <c r="N218" t="s">
        <v>61</v>
      </c>
      <c r="O218" t="s">
        <v>39</v>
      </c>
      <c r="P218" t="s">
        <v>82</v>
      </c>
    </row>
    <row r="219" spans="1:16" x14ac:dyDescent="0.25">
      <c r="A219" t="s">
        <v>403</v>
      </c>
      <c r="B219" s="3">
        <v>45700</v>
      </c>
      <c r="C219" t="s">
        <v>302</v>
      </c>
      <c r="D219" t="s">
        <v>18</v>
      </c>
      <c r="E219">
        <v>32</v>
      </c>
      <c r="F219" t="s">
        <v>43</v>
      </c>
      <c r="G219" t="s">
        <v>36</v>
      </c>
      <c r="H219" t="s">
        <v>355</v>
      </c>
      <c r="I219">
        <v>4</v>
      </c>
      <c r="J219">
        <v>299</v>
      </c>
      <c r="K219">
        <v>1196</v>
      </c>
      <c r="L219">
        <v>0</v>
      </c>
      <c r="M219" t="s">
        <v>46</v>
      </c>
      <c r="N219" t="s">
        <v>47</v>
      </c>
      <c r="O219" t="s">
        <v>48</v>
      </c>
      <c r="P219" t="s">
        <v>86</v>
      </c>
    </row>
    <row r="220" spans="1:16" x14ac:dyDescent="0.25">
      <c r="A220" t="s">
        <v>404</v>
      </c>
      <c r="B220" s="3">
        <v>45911</v>
      </c>
      <c r="C220" t="s">
        <v>97</v>
      </c>
      <c r="D220" t="s">
        <v>18</v>
      </c>
      <c r="E220">
        <v>54</v>
      </c>
      <c r="F220" t="s">
        <v>19</v>
      </c>
      <c r="G220" t="s">
        <v>29</v>
      </c>
      <c r="H220" t="s">
        <v>140</v>
      </c>
      <c r="I220">
        <v>5</v>
      </c>
      <c r="J220">
        <v>2499</v>
      </c>
      <c r="K220">
        <v>12495</v>
      </c>
      <c r="L220">
        <v>10</v>
      </c>
      <c r="M220" t="s">
        <v>85</v>
      </c>
      <c r="N220" t="s">
        <v>31</v>
      </c>
      <c r="O220" t="s">
        <v>48</v>
      </c>
      <c r="P220" t="s">
        <v>117</v>
      </c>
    </row>
    <row r="221" spans="1:16" x14ac:dyDescent="0.25">
      <c r="A221" t="s">
        <v>405</v>
      </c>
      <c r="B221" s="3">
        <v>45710</v>
      </c>
      <c r="C221" t="s">
        <v>274</v>
      </c>
      <c r="D221" t="s">
        <v>18</v>
      </c>
      <c r="E221">
        <v>37</v>
      </c>
      <c r="F221" t="s">
        <v>98</v>
      </c>
      <c r="G221" t="s">
        <v>36</v>
      </c>
      <c r="H221" t="s">
        <v>133</v>
      </c>
      <c r="I221">
        <v>2</v>
      </c>
      <c r="J221">
        <v>799</v>
      </c>
      <c r="K221">
        <v>1598</v>
      </c>
      <c r="L221">
        <v>15</v>
      </c>
      <c r="M221" t="s">
        <v>46</v>
      </c>
      <c r="N221" t="s">
        <v>31</v>
      </c>
      <c r="O221" t="s">
        <v>24</v>
      </c>
      <c r="P221" t="s">
        <v>62</v>
      </c>
    </row>
    <row r="222" spans="1:16" x14ac:dyDescent="0.25">
      <c r="A222" t="s">
        <v>406</v>
      </c>
      <c r="B222" s="3">
        <v>45959</v>
      </c>
      <c r="C222" t="s">
        <v>153</v>
      </c>
      <c r="D222" t="s">
        <v>35</v>
      </c>
      <c r="E222">
        <v>94</v>
      </c>
      <c r="F222" t="s">
        <v>28</v>
      </c>
      <c r="G222" t="s">
        <v>20</v>
      </c>
      <c r="H222" t="s">
        <v>52</v>
      </c>
      <c r="I222">
        <v>2</v>
      </c>
      <c r="J222">
        <v>2499</v>
      </c>
      <c r="K222">
        <v>4998</v>
      </c>
      <c r="L222">
        <v>5</v>
      </c>
      <c r="M222" t="s">
        <v>85</v>
      </c>
      <c r="N222" t="s">
        <v>47</v>
      </c>
      <c r="O222" t="s">
        <v>24</v>
      </c>
      <c r="P222" t="s">
        <v>54</v>
      </c>
    </row>
    <row r="223" spans="1:16" x14ac:dyDescent="0.25">
      <c r="A223" t="s">
        <v>407</v>
      </c>
      <c r="B223" s="3">
        <v>45801</v>
      </c>
      <c r="C223" t="s">
        <v>270</v>
      </c>
      <c r="D223" t="s">
        <v>18</v>
      </c>
      <c r="E223">
        <v>38</v>
      </c>
      <c r="F223" t="s">
        <v>43</v>
      </c>
      <c r="G223" t="s">
        <v>20</v>
      </c>
      <c r="H223" t="s">
        <v>81</v>
      </c>
      <c r="I223">
        <v>3</v>
      </c>
      <c r="J223">
        <v>1299</v>
      </c>
      <c r="K223">
        <v>3897</v>
      </c>
      <c r="L223">
        <v>10</v>
      </c>
      <c r="M223" t="s">
        <v>85</v>
      </c>
      <c r="N223" t="s">
        <v>31</v>
      </c>
      <c r="O223" t="s">
        <v>48</v>
      </c>
      <c r="P223" t="s">
        <v>203</v>
      </c>
    </row>
    <row r="224" spans="1:16" x14ac:dyDescent="0.25">
      <c r="A224" t="s">
        <v>408</v>
      </c>
      <c r="B224" s="3">
        <v>45993</v>
      </c>
      <c r="C224" t="s">
        <v>237</v>
      </c>
      <c r="D224" t="s">
        <v>18</v>
      </c>
      <c r="E224">
        <v>33</v>
      </c>
      <c r="F224" t="s">
        <v>124</v>
      </c>
      <c r="G224" t="s">
        <v>29</v>
      </c>
      <c r="H224" t="s">
        <v>140</v>
      </c>
      <c r="I224">
        <v>1</v>
      </c>
      <c r="J224">
        <v>499</v>
      </c>
      <c r="K224">
        <v>499</v>
      </c>
      <c r="L224">
        <v>10</v>
      </c>
      <c r="M224" t="s">
        <v>53</v>
      </c>
      <c r="N224" t="s">
        <v>61</v>
      </c>
      <c r="O224" t="s">
        <v>39</v>
      </c>
      <c r="P224" t="s">
        <v>65</v>
      </c>
    </row>
    <row r="225" spans="1:16" x14ac:dyDescent="0.25">
      <c r="A225" t="s">
        <v>409</v>
      </c>
      <c r="B225" s="3">
        <v>45889</v>
      </c>
      <c r="C225" t="s">
        <v>226</v>
      </c>
      <c r="D225" t="s">
        <v>18</v>
      </c>
      <c r="E225">
        <v>43</v>
      </c>
      <c r="F225" t="s">
        <v>43</v>
      </c>
      <c r="G225" t="s">
        <v>68</v>
      </c>
      <c r="H225" t="s">
        <v>171</v>
      </c>
      <c r="I225">
        <v>4</v>
      </c>
      <c r="J225">
        <v>799</v>
      </c>
      <c r="K225">
        <v>3196</v>
      </c>
      <c r="L225">
        <v>10</v>
      </c>
      <c r="M225" t="s">
        <v>22</v>
      </c>
      <c r="N225" t="s">
        <v>61</v>
      </c>
      <c r="O225" t="s">
        <v>39</v>
      </c>
      <c r="P225" t="s">
        <v>193</v>
      </c>
    </row>
    <row r="226" spans="1:16" x14ac:dyDescent="0.25">
      <c r="A226" t="s">
        <v>410</v>
      </c>
      <c r="B226" s="3">
        <v>45998</v>
      </c>
      <c r="C226" t="s">
        <v>145</v>
      </c>
      <c r="D226" t="s">
        <v>35</v>
      </c>
      <c r="E226">
        <v>22</v>
      </c>
      <c r="F226" t="s">
        <v>28</v>
      </c>
      <c r="G226" t="s">
        <v>20</v>
      </c>
      <c r="H226" t="s">
        <v>21</v>
      </c>
      <c r="I226">
        <v>4</v>
      </c>
      <c r="J226">
        <v>1999</v>
      </c>
      <c r="K226">
        <v>7996</v>
      </c>
      <c r="L226">
        <v>5</v>
      </c>
      <c r="M226" t="s">
        <v>22</v>
      </c>
      <c r="N226" t="s">
        <v>47</v>
      </c>
      <c r="O226" t="s">
        <v>39</v>
      </c>
      <c r="P226" t="s">
        <v>70</v>
      </c>
    </row>
    <row r="227" spans="1:16" x14ac:dyDescent="0.25">
      <c r="A227" t="s">
        <v>411</v>
      </c>
      <c r="B227" s="3">
        <v>45953</v>
      </c>
      <c r="C227" t="s">
        <v>237</v>
      </c>
      <c r="D227" t="s">
        <v>35</v>
      </c>
      <c r="E227">
        <v>39</v>
      </c>
      <c r="F227" t="s">
        <v>98</v>
      </c>
      <c r="G227" t="s">
        <v>44</v>
      </c>
      <c r="H227" t="s">
        <v>177</v>
      </c>
      <c r="I227">
        <v>3</v>
      </c>
      <c r="J227">
        <v>1299</v>
      </c>
      <c r="K227">
        <v>3897</v>
      </c>
      <c r="L227">
        <v>0</v>
      </c>
      <c r="M227" t="s">
        <v>38</v>
      </c>
      <c r="N227" t="s">
        <v>61</v>
      </c>
      <c r="O227" t="s">
        <v>24</v>
      </c>
      <c r="P227" t="s">
        <v>203</v>
      </c>
    </row>
    <row r="228" spans="1:16" x14ac:dyDescent="0.25">
      <c r="A228" t="s">
        <v>412</v>
      </c>
      <c r="B228" s="3">
        <v>45877</v>
      </c>
      <c r="C228" t="s">
        <v>280</v>
      </c>
      <c r="D228" t="s">
        <v>18</v>
      </c>
      <c r="E228">
        <v>59</v>
      </c>
      <c r="F228" t="s">
        <v>43</v>
      </c>
      <c r="G228" t="s">
        <v>29</v>
      </c>
      <c r="H228" t="s">
        <v>140</v>
      </c>
      <c r="I228">
        <v>4</v>
      </c>
      <c r="J228">
        <v>199</v>
      </c>
      <c r="K228">
        <v>796</v>
      </c>
      <c r="L228">
        <v>5</v>
      </c>
      <c r="M228" t="s">
        <v>46</v>
      </c>
      <c r="N228" t="s">
        <v>23</v>
      </c>
      <c r="O228" t="s">
        <v>48</v>
      </c>
      <c r="P228" t="s">
        <v>125</v>
      </c>
    </row>
    <row r="229" spans="1:16" x14ac:dyDescent="0.25">
      <c r="A229" t="s">
        <v>413</v>
      </c>
      <c r="B229" s="3">
        <v>45990</v>
      </c>
      <c r="C229" t="s">
        <v>414</v>
      </c>
      <c r="D229" t="s">
        <v>18</v>
      </c>
      <c r="E229">
        <v>43</v>
      </c>
      <c r="F229" t="s">
        <v>43</v>
      </c>
      <c r="G229" t="s">
        <v>44</v>
      </c>
      <c r="H229" t="s">
        <v>45</v>
      </c>
      <c r="I229">
        <v>3</v>
      </c>
      <c r="J229">
        <v>1999</v>
      </c>
      <c r="K229">
        <v>5997</v>
      </c>
      <c r="L229">
        <v>5</v>
      </c>
      <c r="M229" t="s">
        <v>22</v>
      </c>
      <c r="N229" t="s">
        <v>23</v>
      </c>
      <c r="O229" t="s">
        <v>48</v>
      </c>
      <c r="P229" t="s">
        <v>203</v>
      </c>
    </row>
    <row r="230" spans="1:16" x14ac:dyDescent="0.25">
      <c r="A230" t="s">
        <v>415</v>
      </c>
      <c r="B230" s="3">
        <v>45725</v>
      </c>
      <c r="C230" t="s">
        <v>310</v>
      </c>
      <c r="D230" t="s">
        <v>18</v>
      </c>
      <c r="E230">
        <v>51</v>
      </c>
      <c r="F230" t="s">
        <v>51</v>
      </c>
      <c r="G230" t="s">
        <v>20</v>
      </c>
      <c r="H230" t="s">
        <v>52</v>
      </c>
      <c r="I230">
        <v>4</v>
      </c>
      <c r="J230">
        <v>249</v>
      </c>
      <c r="K230">
        <v>996</v>
      </c>
      <c r="L230">
        <v>0</v>
      </c>
      <c r="M230" t="s">
        <v>38</v>
      </c>
      <c r="N230" t="s">
        <v>31</v>
      </c>
      <c r="O230" t="s">
        <v>24</v>
      </c>
      <c r="P230" t="s">
        <v>134</v>
      </c>
    </row>
    <row r="231" spans="1:16" x14ac:dyDescent="0.25">
      <c r="A231" t="s">
        <v>416</v>
      </c>
      <c r="B231" s="3">
        <v>45854</v>
      </c>
      <c r="C231" t="s">
        <v>313</v>
      </c>
      <c r="D231" t="s">
        <v>18</v>
      </c>
      <c r="E231">
        <v>24</v>
      </c>
      <c r="F231" t="s">
        <v>60</v>
      </c>
      <c r="G231" t="s">
        <v>29</v>
      </c>
      <c r="H231" t="s">
        <v>140</v>
      </c>
      <c r="I231">
        <v>1</v>
      </c>
      <c r="J231">
        <v>399</v>
      </c>
      <c r="K231">
        <v>399</v>
      </c>
      <c r="L231">
        <v>10</v>
      </c>
      <c r="M231" t="s">
        <v>46</v>
      </c>
      <c r="N231" t="s">
        <v>47</v>
      </c>
      <c r="O231" t="s">
        <v>39</v>
      </c>
      <c r="P231" t="s">
        <v>65</v>
      </c>
    </row>
    <row r="232" spans="1:16" x14ac:dyDescent="0.25">
      <c r="A232" t="s">
        <v>417</v>
      </c>
      <c r="B232" s="3">
        <v>45662</v>
      </c>
      <c r="C232" t="s">
        <v>239</v>
      </c>
      <c r="D232" t="s">
        <v>18</v>
      </c>
      <c r="E232">
        <v>46</v>
      </c>
      <c r="F232" t="s">
        <v>60</v>
      </c>
      <c r="G232" t="s">
        <v>29</v>
      </c>
      <c r="H232" t="s">
        <v>108</v>
      </c>
      <c r="I232">
        <v>5</v>
      </c>
      <c r="J232">
        <v>1499</v>
      </c>
      <c r="K232">
        <v>7495</v>
      </c>
      <c r="L232">
        <v>5</v>
      </c>
      <c r="M232" t="s">
        <v>53</v>
      </c>
      <c r="N232" t="s">
        <v>61</v>
      </c>
      <c r="O232" t="s">
        <v>48</v>
      </c>
      <c r="P232" t="s">
        <v>62</v>
      </c>
    </row>
    <row r="233" spans="1:16" x14ac:dyDescent="0.25">
      <c r="A233" t="s">
        <v>418</v>
      </c>
      <c r="B233" s="3">
        <v>45721</v>
      </c>
      <c r="C233" t="s">
        <v>310</v>
      </c>
      <c r="D233" t="s">
        <v>35</v>
      </c>
      <c r="E233">
        <v>40</v>
      </c>
      <c r="F233" t="s">
        <v>28</v>
      </c>
      <c r="G233" t="s">
        <v>29</v>
      </c>
      <c r="H233" t="s">
        <v>108</v>
      </c>
      <c r="I233">
        <v>1</v>
      </c>
      <c r="J233">
        <v>299</v>
      </c>
      <c r="K233">
        <v>299</v>
      </c>
      <c r="L233">
        <v>10</v>
      </c>
      <c r="M233" t="s">
        <v>53</v>
      </c>
      <c r="N233" t="s">
        <v>47</v>
      </c>
      <c r="O233" t="s">
        <v>39</v>
      </c>
      <c r="P233" t="s">
        <v>25</v>
      </c>
    </row>
    <row r="234" spans="1:16" x14ac:dyDescent="0.25">
      <c r="A234" t="s">
        <v>419</v>
      </c>
      <c r="B234" s="3">
        <v>45969</v>
      </c>
      <c r="C234" t="s">
        <v>116</v>
      </c>
      <c r="D234" t="s">
        <v>18</v>
      </c>
      <c r="E234">
        <v>60</v>
      </c>
      <c r="F234" t="s">
        <v>43</v>
      </c>
      <c r="G234" t="s">
        <v>29</v>
      </c>
      <c r="H234" t="s">
        <v>200</v>
      </c>
      <c r="I234">
        <v>5</v>
      </c>
      <c r="J234">
        <v>1499</v>
      </c>
      <c r="K234">
        <v>7495</v>
      </c>
      <c r="L234">
        <v>5</v>
      </c>
      <c r="M234" t="s">
        <v>85</v>
      </c>
      <c r="N234" t="s">
        <v>47</v>
      </c>
      <c r="O234" t="s">
        <v>48</v>
      </c>
      <c r="P234" t="s">
        <v>157</v>
      </c>
    </row>
    <row r="235" spans="1:16" x14ac:dyDescent="0.25">
      <c r="A235" t="s">
        <v>420</v>
      </c>
      <c r="B235" s="3">
        <v>45855</v>
      </c>
      <c r="C235" t="s">
        <v>80</v>
      </c>
      <c r="D235" t="s">
        <v>18</v>
      </c>
      <c r="E235">
        <v>49</v>
      </c>
      <c r="F235" t="s">
        <v>19</v>
      </c>
      <c r="G235" t="s">
        <v>44</v>
      </c>
      <c r="H235" t="s">
        <v>45</v>
      </c>
      <c r="I235">
        <v>2</v>
      </c>
      <c r="J235">
        <v>999</v>
      </c>
      <c r="K235">
        <v>1998</v>
      </c>
      <c r="L235">
        <v>20</v>
      </c>
      <c r="M235" t="s">
        <v>38</v>
      </c>
      <c r="N235" t="s">
        <v>31</v>
      </c>
      <c r="O235" t="s">
        <v>39</v>
      </c>
      <c r="P235" t="s">
        <v>65</v>
      </c>
    </row>
    <row r="236" spans="1:16" x14ac:dyDescent="0.25">
      <c r="A236" t="s">
        <v>421</v>
      </c>
      <c r="B236" s="3">
        <v>45937</v>
      </c>
      <c r="C236" t="s">
        <v>377</v>
      </c>
      <c r="D236" t="s">
        <v>18</v>
      </c>
      <c r="E236">
        <v>48</v>
      </c>
      <c r="F236" t="s">
        <v>19</v>
      </c>
      <c r="G236" t="s">
        <v>36</v>
      </c>
      <c r="H236" t="s">
        <v>133</v>
      </c>
      <c r="I236">
        <v>4</v>
      </c>
      <c r="J236">
        <v>599</v>
      </c>
      <c r="K236">
        <v>2396</v>
      </c>
      <c r="L236">
        <v>0</v>
      </c>
      <c r="M236" t="s">
        <v>85</v>
      </c>
      <c r="N236" t="s">
        <v>23</v>
      </c>
      <c r="O236" t="s">
        <v>24</v>
      </c>
      <c r="P236" t="s">
        <v>70</v>
      </c>
    </row>
    <row r="237" spans="1:16" x14ac:dyDescent="0.25">
      <c r="A237" t="s">
        <v>422</v>
      </c>
      <c r="B237" s="3">
        <v>45917</v>
      </c>
      <c r="C237" t="s">
        <v>116</v>
      </c>
      <c r="D237" t="s">
        <v>35</v>
      </c>
      <c r="E237">
        <v>45</v>
      </c>
      <c r="F237" t="s">
        <v>28</v>
      </c>
      <c r="G237" t="s">
        <v>29</v>
      </c>
      <c r="H237" t="s">
        <v>108</v>
      </c>
      <c r="I237">
        <v>1</v>
      </c>
      <c r="J237">
        <v>799</v>
      </c>
      <c r="K237">
        <v>799</v>
      </c>
      <c r="L237">
        <v>0</v>
      </c>
      <c r="M237" t="s">
        <v>85</v>
      </c>
      <c r="N237" t="s">
        <v>47</v>
      </c>
      <c r="O237" t="s">
        <v>39</v>
      </c>
      <c r="P237" t="s">
        <v>25</v>
      </c>
    </row>
    <row r="238" spans="1:16" x14ac:dyDescent="0.25">
      <c r="A238" t="s">
        <v>423</v>
      </c>
      <c r="B238" s="3">
        <v>45737</v>
      </c>
      <c r="C238" t="s">
        <v>56</v>
      </c>
      <c r="D238" t="s">
        <v>35</v>
      </c>
      <c r="E238">
        <v>43</v>
      </c>
      <c r="F238" t="s">
        <v>19</v>
      </c>
      <c r="G238" t="s">
        <v>44</v>
      </c>
      <c r="H238" t="s">
        <v>45</v>
      </c>
      <c r="I238">
        <v>5</v>
      </c>
      <c r="J238">
        <v>399</v>
      </c>
      <c r="K238">
        <v>1995</v>
      </c>
      <c r="L238">
        <v>10</v>
      </c>
      <c r="M238" t="s">
        <v>22</v>
      </c>
      <c r="N238" t="s">
        <v>47</v>
      </c>
      <c r="O238" t="s">
        <v>24</v>
      </c>
      <c r="P238" t="s">
        <v>89</v>
      </c>
    </row>
    <row r="239" spans="1:16" x14ac:dyDescent="0.25">
      <c r="A239" t="s">
        <v>424</v>
      </c>
      <c r="B239" s="3">
        <v>45971</v>
      </c>
      <c r="C239" t="s">
        <v>221</v>
      </c>
      <c r="D239" t="s">
        <v>18</v>
      </c>
      <c r="E239">
        <v>37</v>
      </c>
      <c r="F239" t="s">
        <v>124</v>
      </c>
      <c r="G239" t="s">
        <v>20</v>
      </c>
      <c r="H239" t="s">
        <v>120</v>
      </c>
      <c r="I239">
        <v>1</v>
      </c>
      <c r="J239">
        <v>999</v>
      </c>
      <c r="K239">
        <v>999</v>
      </c>
      <c r="L239">
        <v>0</v>
      </c>
      <c r="M239" t="s">
        <v>38</v>
      </c>
      <c r="N239" t="s">
        <v>47</v>
      </c>
      <c r="O239" t="s">
        <v>48</v>
      </c>
      <c r="P239" t="s">
        <v>121</v>
      </c>
    </row>
    <row r="240" spans="1:16" x14ac:dyDescent="0.25">
      <c r="A240" t="s">
        <v>425</v>
      </c>
      <c r="B240" s="3">
        <v>45922</v>
      </c>
      <c r="C240" t="s">
        <v>147</v>
      </c>
      <c r="D240" t="s">
        <v>35</v>
      </c>
      <c r="E240">
        <v>28</v>
      </c>
      <c r="F240" t="s">
        <v>60</v>
      </c>
      <c r="G240" t="s">
        <v>29</v>
      </c>
      <c r="H240" t="s">
        <v>140</v>
      </c>
      <c r="I240">
        <v>3</v>
      </c>
      <c r="J240">
        <v>1299</v>
      </c>
      <c r="K240">
        <v>3897</v>
      </c>
      <c r="L240">
        <v>5</v>
      </c>
      <c r="M240" t="s">
        <v>46</v>
      </c>
      <c r="N240" t="s">
        <v>23</v>
      </c>
      <c r="O240" t="s">
        <v>24</v>
      </c>
      <c r="P240" t="s">
        <v>57</v>
      </c>
    </row>
    <row r="241" spans="1:16" x14ac:dyDescent="0.25">
      <c r="A241" t="s">
        <v>426</v>
      </c>
      <c r="B241" s="3">
        <v>45792</v>
      </c>
      <c r="C241" t="s">
        <v>299</v>
      </c>
      <c r="D241" t="s">
        <v>18</v>
      </c>
      <c r="E241">
        <v>49</v>
      </c>
      <c r="F241" t="s">
        <v>51</v>
      </c>
      <c r="G241" t="s">
        <v>36</v>
      </c>
      <c r="H241" t="s">
        <v>37</v>
      </c>
      <c r="I241">
        <v>5</v>
      </c>
      <c r="J241">
        <v>249</v>
      </c>
      <c r="K241">
        <v>1245</v>
      </c>
      <c r="L241">
        <v>20</v>
      </c>
      <c r="M241" t="s">
        <v>46</v>
      </c>
      <c r="N241" t="s">
        <v>23</v>
      </c>
      <c r="O241" t="s">
        <v>39</v>
      </c>
      <c r="P241" t="s">
        <v>193</v>
      </c>
    </row>
    <row r="242" spans="1:16" x14ac:dyDescent="0.25">
      <c r="A242" t="s">
        <v>427</v>
      </c>
      <c r="B242" s="3">
        <v>45710</v>
      </c>
      <c r="C242" t="s">
        <v>132</v>
      </c>
      <c r="D242" t="s">
        <v>18</v>
      </c>
      <c r="E242">
        <v>32</v>
      </c>
      <c r="F242" t="s">
        <v>98</v>
      </c>
      <c r="G242" t="s">
        <v>29</v>
      </c>
      <c r="H242" t="s">
        <v>64</v>
      </c>
      <c r="I242">
        <v>2</v>
      </c>
      <c r="J242">
        <v>499</v>
      </c>
      <c r="K242">
        <v>998</v>
      </c>
      <c r="L242">
        <v>0</v>
      </c>
      <c r="M242" t="s">
        <v>38</v>
      </c>
      <c r="N242" t="s">
        <v>47</v>
      </c>
      <c r="O242" t="s">
        <v>24</v>
      </c>
      <c r="P242" t="s">
        <v>82</v>
      </c>
    </row>
    <row r="243" spans="1:16" x14ac:dyDescent="0.25">
      <c r="A243" t="s">
        <v>428</v>
      </c>
      <c r="B243" s="3">
        <v>45676</v>
      </c>
      <c r="C243" t="s">
        <v>97</v>
      </c>
      <c r="D243" t="s">
        <v>35</v>
      </c>
      <c r="E243">
        <v>32</v>
      </c>
      <c r="F243" t="s">
        <v>60</v>
      </c>
      <c r="G243" t="s">
        <v>44</v>
      </c>
      <c r="H243" t="s">
        <v>99</v>
      </c>
      <c r="I243">
        <v>2</v>
      </c>
      <c r="J243">
        <v>299</v>
      </c>
      <c r="K243">
        <v>598</v>
      </c>
      <c r="L243">
        <v>5</v>
      </c>
      <c r="M243" t="s">
        <v>22</v>
      </c>
      <c r="N243" t="s">
        <v>31</v>
      </c>
      <c r="O243" t="s">
        <v>39</v>
      </c>
      <c r="P243" t="s">
        <v>25</v>
      </c>
    </row>
    <row r="244" spans="1:16" x14ac:dyDescent="0.25">
      <c r="A244" t="s">
        <v>429</v>
      </c>
      <c r="B244" s="3">
        <v>46002</v>
      </c>
      <c r="C244" t="s">
        <v>250</v>
      </c>
      <c r="D244" t="s">
        <v>18</v>
      </c>
      <c r="E244">
        <v>32</v>
      </c>
      <c r="F244" t="s">
        <v>98</v>
      </c>
      <c r="G244" t="s">
        <v>68</v>
      </c>
      <c r="H244" t="s">
        <v>171</v>
      </c>
      <c r="I244">
        <v>1</v>
      </c>
      <c r="J244">
        <v>1299</v>
      </c>
      <c r="K244">
        <v>1299</v>
      </c>
      <c r="L244">
        <v>15</v>
      </c>
      <c r="M244" t="s">
        <v>38</v>
      </c>
      <c r="N244" t="s">
        <v>61</v>
      </c>
      <c r="O244" t="s">
        <v>39</v>
      </c>
      <c r="P244" t="s">
        <v>86</v>
      </c>
    </row>
    <row r="245" spans="1:16" x14ac:dyDescent="0.25">
      <c r="A245" t="s">
        <v>430</v>
      </c>
      <c r="B245" s="3">
        <v>45662</v>
      </c>
      <c r="C245" t="s">
        <v>123</v>
      </c>
      <c r="D245" t="s">
        <v>18</v>
      </c>
      <c r="E245">
        <v>36</v>
      </c>
      <c r="F245" t="s">
        <v>43</v>
      </c>
      <c r="G245" t="s">
        <v>44</v>
      </c>
      <c r="H245" t="s">
        <v>45</v>
      </c>
      <c r="I245">
        <v>5</v>
      </c>
      <c r="J245">
        <v>999</v>
      </c>
      <c r="K245">
        <v>4995</v>
      </c>
      <c r="L245">
        <v>20</v>
      </c>
      <c r="M245" t="s">
        <v>53</v>
      </c>
      <c r="N245" t="s">
        <v>61</v>
      </c>
      <c r="O245" t="s">
        <v>39</v>
      </c>
      <c r="P245" t="s">
        <v>193</v>
      </c>
    </row>
    <row r="246" spans="1:16" x14ac:dyDescent="0.25">
      <c r="A246" t="s">
        <v>431</v>
      </c>
      <c r="B246" s="3">
        <v>45735</v>
      </c>
      <c r="C246" t="s">
        <v>432</v>
      </c>
      <c r="D246" t="s">
        <v>35</v>
      </c>
      <c r="E246">
        <v>19</v>
      </c>
      <c r="F246" t="s">
        <v>76</v>
      </c>
      <c r="G246" t="s">
        <v>36</v>
      </c>
      <c r="H246" t="s">
        <v>102</v>
      </c>
      <c r="I246">
        <v>5</v>
      </c>
      <c r="J246">
        <v>399</v>
      </c>
      <c r="K246">
        <v>1995</v>
      </c>
      <c r="L246">
        <v>20</v>
      </c>
      <c r="M246" t="s">
        <v>46</v>
      </c>
      <c r="N246" t="s">
        <v>23</v>
      </c>
      <c r="O246" t="s">
        <v>39</v>
      </c>
      <c r="P246" t="s">
        <v>121</v>
      </c>
    </row>
    <row r="247" spans="1:16" x14ac:dyDescent="0.25">
      <c r="A247" t="s">
        <v>433</v>
      </c>
      <c r="B247" s="3">
        <v>45929</v>
      </c>
      <c r="C247" t="s">
        <v>202</v>
      </c>
      <c r="D247" t="s">
        <v>35</v>
      </c>
      <c r="E247">
        <v>49</v>
      </c>
      <c r="F247" t="s">
        <v>98</v>
      </c>
      <c r="G247" t="s">
        <v>36</v>
      </c>
      <c r="H247" t="s">
        <v>37</v>
      </c>
      <c r="I247">
        <v>1</v>
      </c>
      <c r="J247">
        <v>399</v>
      </c>
      <c r="K247">
        <v>399</v>
      </c>
      <c r="L247">
        <v>5</v>
      </c>
      <c r="M247" t="s">
        <v>46</v>
      </c>
      <c r="N247" t="s">
        <v>23</v>
      </c>
      <c r="O247" t="s">
        <v>24</v>
      </c>
      <c r="P247" t="s">
        <v>89</v>
      </c>
    </row>
    <row r="248" spans="1:16" x14ac:dyDescent="0.25">
      <c r="A248" t="s">
        <v>434</v>
      </c>
      <c r="B248" s="3">
        <v>45701</v>
      </c>
      <c r="C248" t="s">
        <v>110</v>
      </c>
      <c r="D248" t="s">
        <v>18</v>
      </c>
      <c r="E248">
        <v>50</v>
      </c>
      <c r="F248" t="s">
        <v>124</v>
      </c>
      <c r="G248" t="s">
        <v>68</v>
      </c>
      <c r="H248" t="s">
        <v>69</v>
      </c>
      <c r="I248">
        <v>3</v>
      </c>
      <c r="J248">
        <v>999</v>
      </c>
      <c r="K248">
        <v>2997</v>
      </c>
      <c r="L248">
        <v>15</v>
      </c>
      <c r="M248" t="s">
        <v>38</v>
      </c>
      <c r="N248" t="s">
        <v>23</v>
      </c>
      <c r="O248" t="s">
        <v>39</v>
      </c>
      <c r="P248" t="s">
        <v>65</v>
      </c>
    </row>
    <row r="249" spans="1:16" x14ac:dyDescent="0.25">
      <c r="A249" t="s">
        <v>435</v>
      </c>
      <c r="B249" s="3">
        <v>45859</v>
      </c>
      <c r="C249" t="s">
        <v>145</v>
      </c>
      <c r="D249" t="s">
        <v>35</v>
      </c>
      <c r="E249">
        <v>38</v>
      </c>
      <c r="F249" t="s">
        <v>51</v>
      </c>
      <c r="G249" t="s">
        <v>29</v>
      </c>
      <c r="H249" t="s">
        <v>64</v>
      </c>
      <c r="I249">
        <v>3</v>
      </c>
      <c r="J249">
        <v>599</v>
      </c>
      <c r="K249">
        <v>1797</v>
      </c>
      <c r="L249">
        <v>10</v>
      </c>
      <c r="M249" t="s">
        <v>53</v>
      </c>
      <c r="N249" t="s">
        <v>23</v>
      </c>
      <c r="O249" t="s">
        <v>24</v>
      </c>
      <c r="P249" t="s">
        <v>65</v>
      </c>
    </row>
    <row r="250" spans="1:16" x14ac:dyDescent="0.25">
      <c r="A250" t="s">
        <v>436</v>
      </c>
      <c r="B250" s="3">
        <v>45742</v>
      </c>
      <c r="C250" t="s">
        <v>186</v>
      </c>
      <c r="D250" t="s">
        <v>35</v>
      </c>
      <c r="E250">
        <v>38</v>
      </c>
      <c r="F250" t="s">
        <v>28</v>
      </c>
      <c r="G250" t="s">
        <v>68</v>
      </c>
      <c r="H250" t="s">
        <v>73</v>
      </c>
      <c r="I250">
        <v>2</v>
      </c>
      <c r="J250">
        <v>249</v>
      </c>
      <c r="K250">
        <v>498</v>
      </c>
      <c r="L250">
        <v>0</v>
      </c>
      <c r="M250" t="s">
        <v>85</v>
      </c>
      <c r="N250" t="s">
        <v>31</v>
      </c>
      <c r="O250" t="s">
        <v>24</v>
      </c>
      <c r="P250" t="s">
        <v>62</v>
      </c>
    </row>
    <row r="251" spans="1:16" x14ac:dyDescent="0.25">
      <c r="A251" t="s">
        <v>437</v>
      </c>
      <c r="B251" s="3">
        <v>45704</v>
      </c>
      <c r="C251" t="s">
        <v>218</v>
      </c>
      <c r="D251" t="s">
        <v>35</v>
      </c>
      <c r="E251">
        <v>56</v>
      </c>
      <c r="F251" t="s">
        <v>98</v>
      </c>
      <c r="G251" t="s">
        <v>44</v>
      </c>
      <c r="H251" t="s">
        <v>99</v>
      </c>
      <c r="I251">
        <v>3</v>
      </c>
      <c r="J251">
        <v>249</v>
      </c>
      <c r="K251">
        <v>747</v>
      </c>
      <c r="L251">
        <v>5</v>
      </c>
      <c r="M251" t="s">
        <v>46</v>
      </c>
      <c r="N251" t="s">
        <v>47</v>
      </c>
      <c r="O251" t="s">
        <v>24</v>
      </c>
      <c r="P251" t="s">
        <v>89</v>
      </c>
    </row>
    <row r="252" spans="1:16" x14ac:dyDescent="0.25">
      <c r="A252" t="s">
        <v>438</v>
      </c>
      <c r="B252" s="3">
        <v>46004</v>
      </c>
      <c r="C252" t="s">
        <v>360</v>
      </c>
      <c r="D252" t="s">
        <v>35</v>
      </c>
      <c r="E252">
        <v>29</v>
      </c>
      <c r="F252" t="s">
        <v>98</v>
      </c>
      <c r="G252" t="s">
        <v>44</v>
      </c>
      <c r="H252" t="s">
        <v>99</v>
      </c>
      <c r="I252">
        <v>5</v>
      </c>
      <c r="J252">
        <v>199</v>
      </c>
      <c r="K252">
        <v>995</v>
      </c>
      <c r="L252">
        <v>15</v>
      </c>
      <c r="M252" t="s">
        <v>22</v>
      </c>
      <c r="N252" t="s">
        <v>47</v>
      </c>
      <c r="O252" t="s">
        <v>24</v>
      </c>
      <c r="P252" t="s">
        <v>62</v>
      </c>
    </row>
    <row r="253" spans="1:16" x14ac:dyDescent="0.25">
      <c r="A253" t="s">
        <v>439</v>
      </c>
      <c r="B253" s="3">
        <v>45689</v>
      </c>
      <c r="C253" t="s">
        <v>209</v>
      </c>
      <c r="D253" t="s">
        <v>18</v>
      </c>
      <c r="E253">
        <v>26</v>
      </c>
      <c r="F253" t="s">
        <v>76</v>
      </c>
      <c r="G253" t="s">
        <v>20</v>
      </c>
      <c r="H253" t="s">
        <v>52</v>
      </c>
      <c r="I253">
        <v>1</v>
      </c>
      <c r="J253">
        <v>199</v>
      </c>
      <c r="K253">
        <v>199</v>
      </c>
      <c r="L253">
        <v>15</v>
      </c>
      <c r="M253" t="s">
        <v>46</v>
      </c>
      <c r="N253" t="s">
        <v>23</v>
      </c>
      <c r="O253" t="s">
        <v>48</v>
      </c>
      <c r="P253" t="s">
        <v>193</v>
      </c>
    </row>
    <row r="254" spans="1:16" x14ac:dyDescent="0.25">
      <c r="A254" t="s">
        <v>440</v>
      </c>
      <c r="B254" s="3">
        <v>45759</v>
      </c>
      <c r="C254" t="s">
        <v>229</v>
      </c>
      <c r="D254" t="s">
        <v>35</v>
      </c>
      <c r="E254">
        <v>26</v>
      </c>
      <c r="F254" t="s">
        <v>19</v>
      </c>
      <c r="G254" t="s">
        <v>44</v>
      </c>
      <c r="H254" t="s">
        <v>45</v>
      </c>
      <c r="I254">
        <v>1</v>
      </c>
      <c r="J254">
        <v>249</v>
      </c>
      <c r="K254">
        <v>249</v>
      </c>
      <c r="L254">
        <v>10</v>
      </c>
      <c r="M254" t="s">
        <v>38</v>
      </c>
      <c r="N254" t="s">
        <v>23</v>
      </c>
      <c r="O254" t="s">
        <v>39</v>
      </c>
      <c r="P254" t="s">
        <v>117</v>
      </c>
    </row>
    <row r="255" spans="1:16" x14ac:dyDescent="0.25">
      <c r="A255" t="s">
        <v>441</v>
      </c>
      <c r="B255" s="3">
        <v>45860</v>
      </c>
      <c r="C255" t="s">
        <v>288</v>
      </c>
      <c r="D255" t="s">
        <v>18</v>
      </c>
      <c r="E255">
        <v>42</v>
      </c>
      <c r="F255" t="s">
        <v>28</v>
      </c>
      <c r="G255" t="s">
        <v>29</v>
      </c>
      <c r="H255" t="s">
        <v>200</v>
      </c>
      <c r="I255">
        <v>4</v>
      </c>
      <c r="J255">
        <v>2499</v>
      </c>
      <c r="K255">
        <v>9996</v>
      </c>
      <c r="L255">
        <v>5</v>
      </c>
      <c r="M255" t="s">
        <v>46</v>
      </c>
      <c r="N255" t="s">
        <v>47</v>
      </c>
      <c r="O255" t="s">
        <v>24</v>
      </c>
      <c r="P255" t="s">
        <v>70</v>
      </c>
    </row>
    <row r="256" spans="1:16" x14ac:dyDescent="0.25">
      <c r="A256" t="s">
        <v>442</v>
      </c>
      <c r="B256" s="3">
        <v>45972</v>
      </c>
      <c r="C256" t="s">
        <v>142</v>
      </c>
      <c r="D256" t="s">
        <v>18</v>
      </c>
      <c r="E256">
        <v>59</v>
      </c>
      <c r="F256" t="s">
        <v>43</v>
      </c>
      <c r="G256" t="s">
        <v>44</v>
      </c>
      <c r="H256" t="s">
        <v>99</v>
      </c>
      <c r="I256">
        <v>2</v>
      </c>
      <c r="J256">
        <v>199</v>
      </c>
      <c r="K256">
        <v>398</v>
      </c>
      <c r="L256">
        <v>15</v>
      </c>
      <c r="M256" t="s">
        <v>22</v>
      </c>
      <c r="N256" t="s">
        <v>61</v>
      </c>
      <c r="O256" t="s">
        <v>24</v>
      </c>
      <c r="P256" t="s">
        <v>25</v>
      </c>
    </row>
    <row r="257" spans="1:16" x14ac:dyDescent="0.25">
      <c r="A257" t="s">
        <v>443</v>
      </c>
      <c r="B257" s="3">
        <v>45760</v>
      </c>
      <c r="C257" t="s">
        <v>229</v>
      </c>
      <c r="D257" t="s">
        <v>18</v>
      </c>
      <c r="E257">
        <v>58</v>
      </c>
      <c r="F257" t="s">
        <v>98</v>
      </c>
      <c r="G257" t="s">
        <v>44</v>
      </c>
      <c r="H257" t="s">
        <v>99</v>
      </c>
      <c r="I257">
        <v>2</v>
      </c>
      <c r="J257">
        <v>799</v>
      </c>
      <c r="K257">
        <v>1598</v>
      </c>
      <c r="L257">
        <v>15</v>
      </c>
      <c r="M257" t="s">
        <v>46</v>
      </c>
      <c r="N257" t="s">
        <v>61</v>
      </c>
      <c r="O257" t="s">
        <v>48</v>
      </c>
      <c r="P257" t="s">
        <v>82</v>
      </c>
    </row>
    <row r="258" spans="1:16" x14ac:dyDescent="0.25">
      <c r="A258" t="s">
        <v>444</v>
      </c>
      <c r="B258" s="3">
        <v>45856</v>
      </c>
      <c r="C258" t="s">
        <v>59</v>
      </c>
      <c r="D258" t="s">
        <v>18</v>
      </c>
      <c r="E258">
        <v>19</v>
      </c>
      <c r="F258" t="s">
        <v>60</v>
      </c>
      <c r="G258" t="s">
        <v>44</v>
      </c>
      <c r="H258" t="s">
        <v>151</v>
      </c>
      <c r="I258">
        <v>5</v>
      </c>
      <c r="J258">
        <v>599</v>
      </c>
      <c r="K258">
        <v>2995</v>
      </c>
      <c r="L258">
        <v>20</v>
      </c>
      <c r="M258" t="s">
        <v>53</v>
      </c>
      <c r="N258" t="s">
        <v>23</v>
      </c>
      <c r="O258" t="s">
        <v>39</v>
      </c>
      <c r="P258" t="s">
        <v>117</v>
      </c>
    </row>
    <row r="259" spans="1:16" x14ac:dyDescent="0.25">
      <c r="A259" t="s">
        <v>445</v>
      </c>
      <c r="B259" s="3">
        <v>45777</v>
      </c>
      <c r="C259" t="s">
        <v>218</v>
      </c>
      <c r="D259" t="s">
        <v>18</v>
      </c>
      <c r="E259">
        <v>33</v>
      </c>
      <c r="F259" t="s">
        <v>76</v>
      </c>
      <c r="G259" t="s">
        <v>36</v>
      </c>
      <c r="H259" t="s">
        <v>133</v>
      </c>
      <c r="I259">
        <v>3</v>
      </c>
      <c r="J259">
        <v>1499</v>
      </c>
      <c r="K259">
        <v>4497</v>
      </c>
      <c r="L259">
        <v>10</v>
      </c>
      <c r="M259" t="s">
        <v>85</v>
      </c>
      <c r="N259" t="s">
        <v>23</v>
      </c>
      <c r="O259" t="s">
        <v>24</v>
      </c>
      <c r="P259" t="s">
        <v>193</v>
      </c>
    </row>
    <row r="260" spans="1:16" x14ac:dyDescent="0.25">
      <c r="A260" t="s">
        <v>446</v>
      </c>
      <c r="B260" s="3">
        <v>45779</v>
      </c>
      <c r="C260" t="s">
        <v>310</v>
      </c>
      <c r="D260" t="s">
        <v>35</v>
      </c>
      <c r="E260">
        <v>40</v>
      </c>
      <c r="F260" t="s">
        <v>98</v>
      </c>
      <c r="G260" t="s">
        <v>36</v>
      </c>
      <c r="H260" t="s">
        <v>37</v>
      </c>
      <c r="I260">
        <v>2</v>
      </c>
      <c r="J260">
        <v>299</v>
      </c>
      <c r="K260">
        <v>598</v>
      </c>
      <c r="L260">
        <v>10</v>
      </c>
      <c r="M260" t="s">
        <v>85</v>
      </c>
      <c r="N260" t="s">
        <v>47</v>
      </c>
      <c r="O260" t="s">
        <v>48</v>
      </c>
      <c r="P260" t="s">
        <v>54</v>
      </c>
    </row>
    <row r="261" spans="1:16" x14ac:dyDescent="0.25">
      <c r="A261" t="s">
        <v>447</v>
      </c>
      <c r="B261" s="3">
        <v>45909</v>
      </c>
      <c r="C261" t="s">
        <v>91</v>
      </c>
      <c r="D261" t="s">
        <v>18</v>
      </c>
      <c r="E261">
        <v>21</v>
      </c>
      <c r="F261" t="s">
        <v>76</v>
      </c>
      <c r="G261" t="s">
        <v>36</v>
      </c>
      <c r="H261" t="s">
        <v>133</v>
      </c>
      <c r="I261">
        <v>3</v>
      </c>
      <c r="J261">
        <v>299</v>
      </c>
      <c r="K261">
        <v>897</v>
      </c>
      <c r="L261">
        <v>20</v>
      </c>
      <c r="M261" t="s">
        <v>53</v>
      </c>
      <c r="N261" t="s">
        <v>23</v>
      </c>
      <c r="O261" t="s">
        <v>48</v>
      </c>
      <c r="P261" t="s">
        <v>82</v>
      </c>
    </row>
    <row r="262" spans="1:16" x14ac:dyDescent="0.25">
      <c r="A262" t="s">
        <v>448</v>
      </c>
      <c r="B262" s="3">
        <v>45724</v>
      </c>
      <c r="C262" t="s">
        <v>213</v>
      </c>
      <c r="D262" t="s">
        <v>18</v>
      </c>
      <c r="E262">
        <v>38</v>
      </c>
      <c r="F262" t="s">
        <v>98</v>
      </c>
      <c r="G262" t="s">
        <v>20</v>
      </c>
      <c r="H262" t="s">
        <v>77</v>
      </c>
      <c r="I262">
        <v>5</v>
      </c>
      <c r="J262">
        <v>399</v>
      </c>
      <c r="K262">
        <v>1995</v>
      </c>
      <c r="L262">
        <v>0</v>
      </c>
      <c r="M262" t="s">
        <v>53</v>
      </c>
      <c r="N262" t="s">
        <v>47</v>
      </c>
      <c r="O262" t="s">
        <v>24</v>
      </c>
      <c r="P262" t="s">
        <v>78</v>
      </c>
    </row>
    <row r="263" spans="1:16" x14ac:dyDescent="0.25">
      <c r="A263" t="s">
        <v>449</v>
      </c>
      <c r="B263" s="3">
        <v>45997</v>
      </c>
      <c r="C263" t="s">
        <v>388</v>
      </c>
      <c r="D263" t="s">
        <v>18</v>
      </c>
      <c r="E263">
        <v>39</v>
      </c>
      <c r="F263" t="s">
        <v>43</v>
      </c>
      <c r="G263" t="s">
        <v>44</v>
      </c>
      <c r="H263" t="s">
        <v>45</v>
      </c>
      <c r="I263">
        <v>3</v>
      </c>
      <c r="J263">
        <v>2499</v>
      </c>
      <c r="K263">
        <v>7497</v>
      </c>
      <c r="L263">
        <v>10</v>
      </c>
      <c r="M263" t="s">
        <v>53</v>
      </c>
      <c r="N263" t="s">
        <v>47</v>
      </c>
      <c r="O263" t="s">
        <v>48</v>
      </c>
      <c r="P263" t="s">
        <v>134</v>
      </c>
    </row>
    <row r="264" spans="1:16" x14ac:dyDescent="0.25">
      <c r="A264" t="s">
        <v>450</v>
      </c>
      <c r="B264" s="3">
        <v>45945</v>
      </c>
      <c r="C264" t="s">
        <v>153</v>
      </c>
      <c r="D264" t="s">
        <v>35</v>
      </c>
      <c r="E264">
        <v>32</v>
      </c>
      <c r="F264" t="s">
        <v>124</v>
      </c>
      <c r="G264" t="s">
        <v>36</v>
      </c>
      <c r="H264" t="s">
        <v>37</v>
      </c>
      <c r="I264">
        <v>2</v>
      </c>
      <c r="J264">
        <v>2499</v>
      </c>
      <c r="K264">
        <v>4998</v>
      </c>
      <c r="L264">
        <v>15</v>
      </c>
      <c r="M264" t="s">
        <v>46</v>
      </c>
      <c r="N264" t="s">
        <v>31</v>
      </c>
      <c r="O264" t="s">
        <v>24</v>
      </c>
      <c r="P264" t="s">
        <v>32</v>
      </c>
    </row>
    <row r="265" spans="1:16" x14ac:dyDescent="0.25">
      <c r="A265" t="s">
        <v>451</v>
      </c>
      <c r="B265" s="3">
        <v>45674</v>
      </c>
      <c r="C265" t="s">
        <v>452</v>
      </c>
      <c r="D265" t="s">
        <v>35</v>
      </c>
      <c r="E265">
        <v>57</v>
      </c>
      <c r="F265" t="s">
        <v>76</v>
      </c>
      <c r="G265" t="s">
        <v>20</v>
      </c>
      <c r="H265" t="s">
        <v>81</v>
      </c>
      <c r="I265">
        <v>4</v>
      </c>
      <c r="J265">
        <v>1499</v>
      </c>
      <c r="K265">
        <v>5996</v>
      </c>
      <c r="L265">
        <v>20</v>
      </c>
      <c r="M265" t="s">
        <v>38</v>
      </c>
      <c r="N265" t="s">
        <v>61</v>
      </c>
      <c r="O265" t="s">
        <v>24</v>
      </c>
      <c r="P265" t="s">
        <v>57</v>
      </c>
    </row>
    <row r="266" spans="1:16" x14ac:dyDescent="0.25">
      <c r="A266" t="s">
        <v>453</v>
      </c>
      <c r="B266" s="3">
        <v>45743</v>
      </c>
      <c r="C266" t="s">
        <v>261</v>
      </c>
      <c r="D266" t="s">
        <v>18</v>
      </c>
      <c r="E266">
        <v>60</v>
      </c>
      <c r="F266" t="s">
        <v>60</v>
      </c>
      <c r="G266" t="s">
        <v>20</v>
      </c>
      <c r="H266" t="s">
        <v>52</v>
      </c>
      <c r="I266">
        <v>3</v>
      </c>
      <c r="J266">
        <v>599</v>
      </c>
      <c r="K266">
        <v>1797</v>
      </c>
      <c r="L266">
        <v>15</v>
      </c>
      <c r="M266" t="s">
        <v>38</v>
      </c>
      <c r="N266" t="s">
        <v>31</v>
      </c>
      <c r="O266" t="s">
        <v>24</v>
      </c>
      <c r="P266" t="s">
        <v>89</v>
      </c>
    </row>
    <row r="267" spans="1:16" x14ac:dyDescent="0.25">
      <c r="A267" t="s">
        <v>454</v>
      </c>
      <c r="B267" s="3">
        <v>45658</v>
      </c>
      <c r="C267" t="s">
        <v>250</v>
      </c>
      <c r="D267" t="s">
        <v>35</v>
      </c>
      <c r="E267">
        <v>46</v>
      </c>
      <c r="F267" t="s">
        <v>28</v>
      </c>
      <c r="G267" t="s">
        <v>20</v>
      </c>
      <c r="H267" t="s">
        <v>77</v>
      </c>
      <c r="I267">
        <v>3</v>
      </c>
      <c r="J267">
        <v>249</v>
      </c>
      <c r="K267">
        <v>747</v>
      </c>
      <c r="L267">
        <v>5</v>
      </c>
      <c r="M267" t="s">
        <v>22</v>
      </c>
      <c r="N267" t="s">
        <v>61</v>
      </c>
      <c r="O267" t="s">
        <v>39</v>
      </c>
      <c r="P267" t="s">
        <v>125</v>
      </c>
    </row>
    <row r="268" spans="1:16" x14ac:dyDescent="0.25">
      <c r="A268" t="s">
        <v>455</v>
      </c>
      <c r="B268" s="3">
        <v>45953</v>
      </c>
      <c r="C268" t="s">
        <v>164</v>
      </c>
      <c r="D268" t="s">
        <v>18</v>
      </c>
      <c r="E268">
        <v>28</v>
      </c>
      <c r="F268" t="s">
        <v>51</v>
      </c>
      <c r="G268" t="s">
        <v>68</v>
      </c>
      <c r="H268" t="s">
        <v>69</v>
      </c>
      <c r="I268">
        <v>1</v>
      </c>
      <c r="J268">
        <v>999</v>
      </c>
      <c r="K268">
        <v>999</v>
      </c>
      <c r="L268">
        <v>0</v>
      </c>
      <c r="M268" t="s">
        <v>38</v>
      </c>
      <c r="N268" t="s">
        <v>31</v>
      </c>
      <c r="O268" t="s">
        <v>24</v>
      </c>
      <c r="P268" t="s">
        <v>57</v>
      </c>
    </row>
    <row r="269" spans="1:16" x14ac:dyDescent="0.25">
      <c r="A269" t="s">
        <v>456</v>
      </c>
      <c r="B269" s="3">
        <v>45745</v>
      </c>
      <c r="C269" t="s">
        <v>42</v>
      </c>
      <c r="D269" t="s">
        <v>18</v>
      </c>
      <c r="E269">
        <v>22</v>
      </c>
      <c r="F269" t="s">
        <v>19</v>
      </c>
      <c r="G269" t="s">
        <v>44</v>
      </c>
      <c r="H269" t="s">
        <v>45</v>
      </c>
      <c r="I269">
        <v>1</v>
      </c>
      <c r="J269">
        <v>599</v>
      </c>
      <c r="K269">
        <v>599</v>
      </c>
      <c r="L269">
        <v>10</v>
      </c>
      <c r="M269" t="s">
        <v>85</v>
      </c>
      <c r="N269" t="s">
        <v>61</v>
      </c>
      <c r="O269" t="s">
        <v>48</v>
      </c>
      <c r="P269" t="s">
        <v>121</v>
      </c>
    </row>
    <row r="270" spans="1:16" x14ac:dyDescent="0.25">
      <c r="A270" t="s">
        <v>457</v>
      </c>
      <c r="B270" s="3">
        <v>45738</v>
      </c>
      <c r="C270" t="s">
        <v>250</v>
      </c>
      <c r="D270" t="s">
        <v>18</v>
      </c>
      <c r="E270">
        <v>39</v>
      </c>
      <c r="F270" t="s">
        <v>76</v>
      </c>
      <c r="G270" t="s">
        <v>36</v>
      </c>
      <c r="H270" t="s">
        <v>102</v>
      </c>
      <c r="I270">
        <v>5</v>
      </c>
      <c r="J270">
        <v>799</v>
      </c>
      <c r="K270">
        <v>3995</v>
      </c>
      <c r="L270">
        <v>5</v>
      </c>
      <c r="M270" t="s">
        <v>22</v>
      </c>
      <c r="N270" t="s">
        <v>31</v>
      </c>
      <c r="O270" t="s">
        <v>48</v>
      </c>
      <c r="P270" t="s">
        <v>86</v>
      </c>
    </row>
    <row r="271" spans="1:16" x14ac:dyDescent="0.25">
      <c r="A271" t="s">
        <v>458</v>
      </c>
      <c r="B271" s="3">
        <v>45859</v>
      </c>
      <c r="C271" t="s">
        <v>132</v>
      </c>
      <c r="D271" t="s">
        <v>35</v>
      </c>
      <c r="E271">
        <v>27</v>
      </c>
      <c r="F271" t="s">
        <v>98</v>
      </c>
      <c r="G271" t="s">
        <v>44</v>
      </c>
      <c r="H271" t="s">
        <v>235</v>
      </c>
      <c r="I271">
        <v>1</v>
      </c>
      <c r="J271">
        <v>199</v>
      </c>
      <c r="K271">
        <v>199</v>
      </c>
      <c r="L271">
        <v>10</v>
      </c>
      <c r="M271" t="s">
        <v>38</v>
      </c>
      <c r="N271" t="s">
        <v>61</v>
      </c>
      <c r="O271" t="s">
        <v>24</v>
      </c>
      <c r="P271" t="s">
        <v>86</v>
      </c>
    </row>
    <row r="272" spans="1:16" x14ac:dyDescent="0.25">
      <c r="A272" t="s">
        <v>459</v>
      </c>
      <c r="B272" s="3">
        <v>45671</v>
      </c>
      <c r="C272" t="s">
        <v>353</v>
      </c>
      <c r="D272" t="s">
        <v>18</v>
      </c>
      <c r="E272">
        <v>58</v>
      </c>
      <c r="F272" t="s">
        <v>43</v>
      </c>
      <c r="G272" t="s">
        <v>68</v>
      </c>
      <c r="H272" t="s">
        <v>69</v>
      </c>
      <c r="I272">
        <v>2</v>
      </c>
      <c r="J272">
        <v>249</v>
      </c>
      <c r="K272">
        <v>498</v>
      </c>
      <c r="L272">
        <v>0</v>
      </c>
      <c r="M272" t="s">
        <v>22</v>
      </c>
      <c r="N272" t="s">
        <v>23</v>
      </c>
      <c r="O272" t="s">
        <v>39</v>
      </c>
      <c r="P272" t="s">
        <v>157</v>
      </c>
    </row>
    <row r="273" spans="1:16" x14ac:dyDescent="0.25">
      <c r="A273" t="s">
        <v>460</v>
      </c>
      <c r="B273" s="3">
        <v>45986</v>
      </c>
      <c r="C273" t="s">
        <v>114</v>
      </c>
      <c r="D273" t="s">
        <v>35</v>
      </c>
      <c r="E273">
        <v>29</v>
      </c>
      <c r="F273" t="s">
        <v>60</v>
      </c>
      <c r="G273" t="s">
        <v>36</v>
      </c>
      <c r="H273" t="s">
        <v>355</v>
      </c>
      <c r="I273">
        <v>3</v>
      </c>
      <c r="J273">
        <v>249</v>
      </c>
      <c r="K273">
        <v>747</v>
      </c>
      <c r="L273">
        <v>15</v>
      </c>
      <c r="M273" t="s">
        <v>46</v>
      </c>
      <c r="N273" t="s">
        <v>47</v>
      </c>
      <c r="O273" t="s">
        <v>39</v>
      </c>
      <c r="P273" t="s">
        <v>117</v>
      </c>
    </row>
    <row r="274" spans="1:16" x14ac:dyDescent="0.25">
      <c r="A274" t="s">
        <v>461</v>
      </c>
      <c r="B274" s="3">
        <v>45773</v>
      </c>
      <c r="C274" t="s">
        <v>59</v>
      </c>
      <c r="D274" t="s">
        <v>18</v>
      </c>
      <c r="E274">
        <v>27</v>
      </c>
      <c r="F274" t="s">
        <v>19</v>
      </c>
      <c r="G274" t="s">
        <v>44</v>
      </c>
      <c r="H274" t="s">
        <v>99</v>
      </c>
      <c r="I274">
        <v>4</v>
      </c>
      <c r="J274">
        <v>499</v>
      </c>
      <c r="K274">
        <v>1996</v>
      </c>
      <c r="L274">
        <v>0</v>
      </c>
      <c r="M274" t="s">
        <v>46</v>
      </c>
      <c r="N274" t="s">
        <v>61</v>
      </c>
      <c r="O274" t="s">
        <v>48</v>
      </c>
      <c r="P274" t="s">
        <v>89</v>
      </c>
    </row>
    <row r="275" spans="1:16" x14ac:dyDescent="0.25">
      <c r="A275" t="s">
        <v>462</v>
      </c>
      <c r="B275" s="3">
        <v>45872</v>
      </c>
      <c r="C275" t="s">
        <v>56</v>
      </c>
      <c r="D275" t="s">
        <v>35</v>
      </c>
      <c r="E275">
        <v>54</v>
      </c>
      <c r="F275" t="s">
        <v>76</v>
      </c>
      <c r="G275" t="s">
        <v>68</v>
      </c>
      <c r="H275" t="s">
        <v>73</v>
      </c>
      <c r="I275">
        <v>4</v>
      </c>
      <c r="J275">
        <v>1299</v>
      </c>
      <c r="K275">
        <v>5196</v>
      </c>
      <c r="L275">
        <v>15</v>
      </c>
      <c r="M275" t="s">
        <v>46</v>
      </c>
      <c r="N275" t="s">
        <v>23</v>
      </c>
      <c r="O275" t="s">
        <v>39</v>
      </c>
      <c r="P275" t="s">
        <v>117</v>
      </c>
    </row>
    <row r="276" spans="1:16" x14ac:dyDescent="0.25">
      <c r="A276" t="s">
        <v>463</v>
      </c>
      <c r="B276" s="3">
        <v>46004</v>
      </c>
      <c r="C276" t="s">
        <v>142</v>
      </c>
      <c r="D276" t="s">
        <v>18</v>
      </c>
      <c r="E276">
        <v>25</v>
      </c>
      <c r="F276" t="s">
        <v>51</v>
      </c>
      <c r="G276" t="s">
        <v>68</v>
      </c>
      <c r="H276" t="s">
        <v>94</v>
      </c>
      <c r="I276">
        <v>5</v>
      </c>
      <c r="J276">
        <v>1499</v>
      </c>
      <c r="K276">
        <v>7495</v>
      </c>
      <c r="L276">
        <v>5</v>
      </c>
      <c r="M276" t="s">
        <v>53</v>
      </c>
      <c r="N276" t="s">
        <v>47</v>
      </c>
      <c r="O276" t="s">
        <v>24</v>
      </c>
      <c r="P276" t="s">
        <v>65</v>
      </c>
    </row>
    <row r="277" spans="1:16" x14ac:dyDescent="0.25">
      <c r="A277" t="s">
        <v>464</v>
      </c>
      <c r="B277" s="3">
        <v>45880</v>
      </c>
      <c r="C277" t="s">
        <v>280</v>
      </c>
      <c r="D277" t="s">
        <v>18</v>
      </c>
      <c r="E277">
        <v>56</v>
      </c>
      <c r="F277" t="s">
        <v>43</v>
      </c>
      <c r="G277" t="s">
        <v>20</v>
      </c>
      <c r="H277" t="s">
        <v>120</v>
      </c>
      <c r="I277">
        <v>1</v>
      </c>
      <c r="J277">
        <v>1999</v>
      </c>
      <c r="K277">
        <v>1999</v>
      </c>
      <c r="L277">
        <v>10</v>
      </c>
      <c r="M277" t="s">
        <v>38</v>
      </c>
      <c r="N277" t="s">
        <v>23</v>
      </c>
      <c r="O277" t="s">
        <v>39</v>
      </c>
      <c r="P277" t="s">
        <v>103</v>
      </c>
    </row>
    <row r="278" spans="1:16" x14ac:dyDescent="0.25">
      <c r="A278" t="s">
        <v>465</v>
      </c>
      <c r="B278" s="3">
        <v>45924</v>
      </c>
      <c r="C278" t="s">
        <v>112</v>
      </c>
      <c r="D278" t="s">
        <v>18</v>
      </c>
      <c r="E278">
        <v>57</v>
      </c>
      <c r="F278" t="s">
        <v>28</v>
      </c>
      <c r="G278" t="s">
        <v>36</v>
      </c>
      <c r="H278" t="s">
        <v>133</v>
      </c>
      <c r="I278">
        <v>3</v>
      </c>
      <c r="J278">
        <v>499</v>
      </c>
      <c r="K278">
        <v>1497</v>
      </c>
      <c r="L278">
        <v>0</v>
      </c>
      <c r="M278" t="s">
        <v>22</v>
      </c>
      <c r="N278" t="s">
        <v>47</v>
      </c>
      <c r="O278" t="s">
        <v>24</v>
      </c>
      <c r="P278" t="s">
        <v>193</v>
      </c>
    </row>
    <row r="279" spans="1:16" x14ac:dyDescent="0.25">
      <c r="A279" t="s">
        <v>466</v>
      </c>
      <c r="B279" s="3">
        <v>45946</v>
      </c>
      <c r="C279" t="s">
        <v>209</v>
      </c>
      <c r="D279" t="s">
        <v>18</v>
      </c>
      <c r="E279">
        <v>36</v>
      </c>
      <c r="F279" t="s">
        <v>60</v>
      </c>
      <c r="G279" t="s">
        <v>68</v>
      </c>
      <c r="H279" t="s">
        <v>94</v>
      </c>
      <c r="I279">
        <v>1</v>
      </c>
      <c r="J279">
        <v>249</v>
      </c>
      <c r="K279">
        <v>249</v>
      </c>
      <c r="L279">
        <v>15</v>
      </c>
      <c r="M279" t="s">
        <v>46</v>
      </c>
      <c r="N279" t="s">
        <v>61</v>
      </c>
      <c r="O279" t="s">
        <v>48</v>
      </c>
      <c r="P279" t="s">
        <v>82</v>
      </c>
    </row>
    <row r="280" spans="1:16" x14ac:dyDescent="0.25">
      <c r="A280" t="s">
        <v>467</v>
      </c>
      <c r="B280" s="3">
        <v>45746</v>
      </c>
      <c r="C280" t="s">
        <v>150</v>
      </c>
      <c r="D280" t="s">
        <v>35</v>
      </c>
      <c r="E280">
        <v>27</v>
      </c>
      <c r="F280" t="s">
        <v>28</v>
      </c>
      <c r="G280" t="s">
        <v>68</v>
      </c>
      <c r="H280" t="s">
        <v>94</v>
      </c>
      <c r="I280">
        <v>4</v>
      </c>
      <c r="J280">
        <v>199</v>
      </c>
      <c r="K280">
        <v>796</v>
      </c>
      <c r="L280">
        <v>20</v>
      </c>
      <c r="M280" t="s">
        <v>22</v>
      </c>
      <c r="N280" t="s">
        <v>31</v>
      </c>
      <c r="O280" t="s">
        <v>48</v>
      </c>
      <c r="P280" t="s">
        <v>89</v>
      </c>
    </row>
    <row r="281" spans="1:16" x14ac:dyDescent="0.25">
      <c r="A281" t="s">
        <v>468</v>
      </c>
      <c r="B281" s="3">
        <v>45668</v>
      </c>
      <c r="C281" t="s">
        <v>213</v>
      </c>
      <c r="D281" t="s">
        <v>35</v>
      </c>
      <c r="E281">
        <v>37</v>
      </c>
      <c r="F281" t="s">
        <v>43</v>
      </c>
      <c r="G281" t="s">
        <v>20</v>
      </c>
      <c r="H281" t="s">
        <v>120</v>
      </c>
      <c r="I281">
        <v>3</v>
      </c>
      <c r="J281">
        <v>599</v>
      </c>
      <c r="K281">
        <v>1797</v>
      </c>
      <c r="L281">
        <v>15</v>
      </c>
      <c r="M281" t="s">
        <v>38</v>
      </c>
      <c r="N281" t="s">
        <v>47</v>
      </c>
      <c r="O281" t="s">
        <v>24</v>
      </c>
      <c r="P281" t="s">
        <v>86</v>
      </c>
    </row>
    <row r="282" spans="1:16" x14ac:dyDescent="0.25">
      <c r="A282" t="s">
        <v>469</v>
      </c>
      <c r="B282" s="3">
        <v>45871</v>
      </c>
      <c r="C282" t="s">
        <v>221</v>
      </c>
      <c r="D282" t="s">
        <v>18</v>
      </c>
      <c r="E282">
        <v>30</v>
      </c>
      <c r="F282" t="s">
        <v>51</v>
      </c>
      <c r="G282" t="s">
        <v>36</v>
      </c>
      <c r="H282" t="s">
        <v>37</v>
      </c>
      <c r="I282">
        <v>3</v>
      </c>
      <c r="J282">
        <v>2499</v>
      </c>
      <c r="K282">
        <v>7497</v>
      </c>
      <c r="L282">
        <v>5</v>
      </c>
      <c r="M282" t="s">
        <v>22</v>
      </c>
      <c r="N282" t="s">
        <v>61</v>
      </c>
      <c r="O282" t="s">
        <v>48</v>
      </c>
      <c r="P282" t="s">
        <v>125</v>
      </c>
    </row>
    <row r="283" spans="1:16" x14ac:dyDescent="0.25">
      <c r="A283" t="s">
        <v>470</v>
      </c>
      <c r="B283" s="3">
        <v>45817</v>
      </c>
      <c r="C283" t="s">
        <v>257</v>
      </c>
      <c r="D283" t="s">
        <v>35</v>
      </c>
      <c r="E283">
        <v>26</v>
      </c>
      <c r="F283" t="s">
        <v>98</v>
      </c>
      <c r="G283" t="s">
        <v>20</v>
      </c>
      <c r="H283" t="s">
        <v>81</v>
      </c>
      <c r="I283">
        <v>2</v>
      </c>
      <c r="J283">
        <v>249</v>
      </c>
      <c r="K283">
        <v>498</v>
      </c>
      <c r="L283">
        <v>5</v>
      </c>
      <c r="M283" t="s">
        <v>53</v>
      </c>
      <c r="N283" t="s">
        <v>47</v>
      </c>
      <c r="O283" t="s">
        <v>24</v>
      </c>
      <c r="P283" t="s">
        <v>89</v>
      </c>
    </row>
    <row r="284" spans="1:16" x14ac:dyDescent="0.25">
      <c r="A284" t="s">
        <v>471</v>
      </c>
      <c r="B284" s="3">
        <v>46018</v>
      </c>
      <c r="C284" t="s">
        <v>280</v>
      </c>
      <c r="D284" t="s">
        <v>35</v>
      </c>
      <c r="E284">
        <v>41</v>
      </c>
      <c r="F284" t="s">
        <v>51</v>
      </c>
      <c r="G284" t="s">
        <v>20</v>
      </c>
      <c r="H284" t="s">
        <v>120</v>
      </c>
      <c r="I284">
        <v>1</v>
      </c>
      <c r="J284">
        <v>599</v>
      </c>
      <c r="K284">
        <v>599</v>
      </c>
      <c r="L284">
        <v>20</v>
      </c>
      <c r="M284" t="s">
        <v>22</v>
      </c>
      <c r="N284" t="s">
        <v>23</v>
      </c>
      <c r="O284" t="s">
        <v>48</v>
      </c>
      <c r="P284" t="s">
        <v>121</v>
      </c>
    </row>
    <row r="285" spans="1:16" x14ac:dyDescent="0.25">
      <c r="A285" t="s">
        <v>472</v>
      </c>
      <c r="B285" s="3">
        <v>45886</v>
      </c>
      <c r="C285" t="s">
        <v>224</v>
      </c>
      <c r="D285" t="s">
        <v>35</v>
      </c>
      <c r="E285">
        <v>55</v>
      </c>
      <c r="F285" t="s">
        <v>60</v>
      </c>
      <c r="G285" t="s">
        <v>29</v>
      </c>
      <c r="H285" t="s">
        <v>64</v>
      </c>
      <c r="I285">
        <v>4</v>
      </c>
      <c r="J285">
        <v>1499</v>
      </c>
      <c r="K285">
        <v>5996</v>
      </c>
      <c r="L285">
        <v>10</v>
      </c>
      <c r="M285" t="s">
        <v>53</v>
      </c>
      <c r="N285" t="s">
        <v>31</v>
      </c>
      <c r="O285" t="s">
        <v>48</v>
      </c>
      <c r="P285" t="s">
        <v>25</v>
      </c>
    </row>
    <row r="286" spans="1:16" x14ac:dyDescent="0.25">
      <c r="A286" t="s">
        <v>473</v>
      </c>
      <c r="B286" s="3">
        <v>45741</v>
      </c>
      <c r="C286" t="s">
        <v>132</v>
      </c>
      <c r="D286" t="s">
        <v>18</v>
      </c>
      <c r="E286">
        <v>32</v>
      </c>
      <c r="F286" t="s">
        <v>76</v>
      </c>
      <c r="G286" t="s">
        <v>44</v>
      </c>
      <c r="H286" t="s">
        <v>45</v>
      </c>
      <c r="I286">
        <v>4</v>
      </c>
      <c r="J286">
        <v>199</v>
      </c>
      <c r="K286">
        <v>796</v>
      </c>
      <c r="L286">
        <v>5</v>
      </c>
      <c r="M286" t="s">
        <v>46</v>
      </c>
      <c r="N286" t="s">
        <v>61</v>
      </c>
      <c r="O286" t="s">
        <v>48</v>
      </c>
      <c r="P286" t="s">
        <v>121</v>
      </c>
    </row>
    <row r="287" spans="1:16" x14ac:dyDescent="0.25">
      <c r="A287" t="s">
        <v>474</v>
      </c>
      <c r="B287" s="3">
        <v>45746</v>
      </c>
      <c r="C287" t="s">
        <v>270</v>
      </c>
      <c r="D287" t="s">
        <v>18</v>
      </c>
      <c r="E287">
        <v>32</v>
      </c>
      <c r="F287" t="s">
        <v>43</v>
      </c>
      <c r="G287" t="s">
        <v>20</v>
      </c>
      <c r="H287" t="s">
        <v>120</v>
      </c>
      <c r="I287">
        <v>2</v>
      </c>
      <c r="J287">
        <v>1999</v>
      </c>
      <c r="K287">
        <v>3998</v>
      </c>
      <c r="L287">
        <v>20</v>
      </c>
      <c r="M287" t="s">
        <v>46</v>
      </c>
      <c r="N287" t="s">
        <v>31</v>
      </c>
      <c r="O287" t="s">
        <v>39</v>
      </c>
      <c r="P287" t="s">
        <v>157</v>
      </c>
    </row>
    <row r="288" spans="1:16" x14ac:dyDescent="0.25">
      <c r="A288" t="s">
        <v>475</v>
      </c>
      <c r="B288" s="3">
        <v>45896</v>
      </c>
      <c r="C288" t="s">
        <v>360</v>
      </c>
      <c r="D288" t="s">
        <v>35</v>
      </c>
      <c r="E288">
        <v>55</v>
      </c>
      <c r="F288" t="s">
        <v>19</v>
      </c>
      <c r="G288" t="s">
        <v>44</v>
      </c>
      <c r="H288" t="s">
        <v>99</v>
      </c>
      <c r="I288">
        <v>3</v>
      </c>
      <c r="J288">
        <v>399</v>
      </c>
      <c r="K288">
        <v>1197</v>
      </c>
      <c r="L288">
        <v>0</v>
      </c>
      <c r="M288" t="s">
        <v>85</v>
      </c>
      <c r="N288" t="s">
        <v>31</v>
      </c>
      <c r="O288" t="s">
        <v>48</v>
      </c>
      <c r="P288" t="s">
        <v>40</v>
      </c>
    </row>
    <row r="289" spans="1:16" x14ac:dyDescent="0.25">
      <c r="A289" t="s">
        <v>476</v>
      </c>
      <c r="B289" s="3">
        <v>45713</v>
      </c>
      <c r="C289" t="s">
        <v>182</v>
      </c>
      <c r="D289" t="s">
        <v>18</v>
      </c>
      <c r="E289">
        <v>39</v>
      </c>
      <c r="F289" t="s">
        <v>43</v>
      </c>
      <c r="G289" t="s">
        <v>68</v>
      </c>
      <c r="H289" t="s">
        <v>171</v>
      </c>
      <c r="I289">
        <v>3</v>
      </c>
      <c r="J289">
        <v>1999</v>
      </c>
      <c r="K289">
        <v>5997</v>
      </c>
      <c r="L289">
        <v>10</v>
      </c>
      <c r="M289" t="s">
        <v>46</v>
      </c>
      <c r="N289" t="s">
        <v>31</v>
      </c>
      <c r="O289" t="s">
        <v>48</v>
      </c>
      <c r="P289" t="s">
        <v>86</v>
      </c>
    </row>
    <row r="290" spans="1:16" x14ac:dyDescent="0.25">
      <c r="A290" t="s">
        <v>477</v>
      </c>
      <c r="B290" s="3">
        <v>45687</v>
      </c>
      <c r="C290" t="s">
        <v>270</v>
      </c>
      <c r="D290" t="s">
        <v>35</v>
      </c>
      <c r="E290">
        <v>60</v>
      </c>
      <c r="F290" t="s">
        <v>60</v>
      </c>
      <c r="G290" t="s">
        <v>29</v>
      </c>
      <c r="H290" t="s">
        <v>30</v>
      </c>
      <c r="I290">
        <v>5</v>
      </c>
      <c r="J290">
        <v>399</v>
      </c>
      <c r="K290">
        <v>1995</v>
      </c>
      <c r="L290">
        <v>5</v>
      </c>
      <c r="M290" t="s">
        <v>38</v>
      </c>
      <c r="N290" t="s">
        <v>61</v>
      </c>
      <c r="O290" t="s">
        <v>39</v>
      </c>
      <c r="P290" t="s">
        <v>70</v>
      </c>
    </row>
    <row r="291" spans="1:16" x14ac:dyDescent="0.25">
      <c r="A291" t="s">
        <v>478</v>
      </c>
      <c r="B291" s="3">
        <v>45676</v>
      </c>
      <c r="C291" t="s">
        <v>110</v>
      </c>
      <c r="D291" t="s">
        <v>18</v>
      </c>
      <c r="E291">
        <v>39</v>
      </c>
      <c r="F291" t="s">
        <v>76</v>
      </c>
      <c r="G291" t="s">
        <v>36</v>
      </c>
      <c r="H291" t="s">
        <v>355</v>
      </c>
      <c r="I291">
        <v>4</v>
      </c>
      <c r="J291">
        <v>2499</v>
      </c>
      <c r="K291">
        <v>9996</v>
      </c>
      <c r="L291">
        <v>20</v>
      </c>
      <c r="M291" t="s">
        <v>22</v>
      </c>
      <c r="N291" t="s">
        <v>31</v>
      </c>
      <c r="O291" t="s">
        <v>48</v>
      </c>
      <c r="P291" t="s">
        <v>86</v>
      </c>
    </row>
    <row r="292" spans="1:16" x14ac:dyDescent="0.25">
      <c r="A292" t="s">
        <v>479</v>
      </c>
      <c r="B292" s="3">
        <v>45707</v>
      </c>
      <c r="C292" t="s">
        <v>84</v>
      </c>
      <c r="D292" t="s">
        <v>18</v>
      </c>
      <c r="E292">
        <v>34</v>
      </c>
      <c r="F292" t="s">
        <v>124</v>
      </c>
      <c r="G292" t="s">
        <v>29</v>
      </c>
      <c r="H292" t="s">
        <v>200</v>
      </c>
      <c r="I292">
        <v>2</v>
      </c>
      <c r="J292">
        <v>499</v>
      </c>
      <c r="K292">
        <v>998</v>
      </c>
      <c r="L292">
        <v>10</v>
      </c>
      <c r="M292" t="s">
        <v>38</v>
      </c>
      <c r="N292" t="s">
        <v>47</v>
      </c>
      <c r="O292" t="s">
        <v>39</v>
      </c>
      <c r="P292" t="s">
        <v>89</v>
      </c>
    </row>
    <row r="293" spans="1:16" x14ac:dyDescent="0.25">
      <c r="A293" t="s">
        <v>480</v>
      </c>
      <c r="B293" s="3">
        <v>45791</v>
      </c>
      <c r="C293" t="s">
        <v>110</v>
      </c>
      <c r="D293" t="s">
        <v>35</v>
      </c>
      <c r="E293">
        <v>47</v>
      </c>
      <c r="F293" t="s">
        <v>19</v>
      </c>
      <c r="G293" t="s">
        <v>44</v>
      </c>
      <c r="H293" t="s">
        <v>99</v>
      </c>
      <c r="I293">
        <v>3</v>
      </c>
      <c r="J293">
        <v>599</v>
      </c>
      <c r="K293">
        <v>1797</v>
      </c>
      <c r="L293">
        <v>15</v>
      </c>
      <c r="M293" t="s">
        <v>38</v>
      </c>
      <c r="N293" t="s">
        <v>23</v>
      </c>
      <c r="O293" t="s">
        <v>39</v>
      </c>
      <c r="P293" t="s">
        <v>54</v>
      </c>
    </row>
    <row r="294" spans="1:16" x14ac:dyDescent="0.25">
      <c r="A294" t="s">
        <v>481</v>
      </c>
      <c r="B294" s="3">
        <v>45810</v>
      </c>
      <c r="C294" t="s">
        <v>93</v>
      </c>
      <c r="D294" t="s">
        <v>18</v>
      </c>
      <c r="E294">
        <v>27</v>
      </c>
      <c r="F294" t="s">
        <v>124</v>
      </c>
      <c r="G294" t="s">
        <v>68</v>
      </c>
      <c r="H294" t="s">
        <v>73</v>
      </c>
      <c r="I294">
        <v>4</v>
      </c>
      <c r="J294">
        <v>1299</v>
      </c>
      <c r="K294">
        <v>5196</v>
      </c>
      <c r="L294">
        <v>5</v>
      </c>
      <c r="M294" t="s">
        <v>46</v>
      </c>
      <c r="N294" t="s">
        <v>61</v>
      </c>
      <c r="O294" t="s">
        <v>48</v>
      </c>
      <c r="P294" t="s">
        <v>62</v>
      </c>
    </row>
    <row r="295" spans="1:16" x14ac:dyDescent="0.25">
      <c r="A295" t="s">
        <v>482</v>
      </c>
      <c r="B295" s="3">
        <v>45907</v>
      </c>
      <c r="C295" t="s">
        <v>119</v>
      </c>
      <c r="D295" t="s">
        <v>18</v>
      </c>
      <c r="E295">
        <v>38</v>
      </c>
      <c r="F295" t="s">
        <v>98</v>
      </c>
      <c r="G295" t="s">
        <v>29</v>
      </c>
      <c r="H295" t="s">
        <v>64</v>
      </c>
      <c r="I295">
        <v>2</v>
      </c>
      <c r="J295">
        <v>249</v>
      </c>
      <c r="K295">
        <v>498</v>
      </c>
      <c r="L295">
        <v>0</v>
      </c>
      <c r="M295" t="s">
        <v>22</v>
      </c>
      <c r="N295" t="s">
        <v>31</v>
      </c>
      <c r="O295" t="s">
        <v>24</v>
      </c>
      <c r="P295" t="s">
        <v>32</v>
      </c>
    </row>
    <row r="296" spans="1:16" x14ac:dyDescent="0.25">
      <c r="A296" t="s">
        <v>483</v>
      </c>
      <c r="B296" s="3">
        <v>45724</v>
      </c>
      <c r="C296" t="s">
        <v>239</v>
      </c>
      <c r="D296" t="s">
        <v>35</v>
      </c>
      <c r="E296">
        <v>58</v>
      </c>
      <c r="F296" t="s">
        <v>28</v>
      </c>
      <c r="G296" t="s">
        <v>68</v>
      </c>
      <c r="H296" t="s">
        <v>137</v>
      </c>
      <c r="I296">
        <v>4</v>
      </c>
      <c r="J296">
        <v>249</v>
      </c>
      <c r="K296">
        <v>996</v>
      </c>
      <c r="L296">
        <v>15</v>
      </c>
      <c r="M296" t="s">
        <v>22</v>
      </c>
      <c r="N296" t="s">
        <v>61</v>
      </c>
      <c r="O296" t="s">
        <v>39</v>
      </c>
      <c r="P296" t="s">
        <v>121</v>
      </c>
    </row>
    <row r="297" spans="1:16" x14ac:dyDescent="0.25">
      <c r="A297" t="s">
        <v>484</v>
      </c>
      <c r="B297" s="3">
        <v>45849</v>
      </c>
      <c r="C297" t="s">
        <v>372</v>
      </c>
      <c r="D297" t="s">
        <v>35</v>
      </c>
      <c r="E297">
        <v>51</v>
      </c>
      <c r="F297" t="s">
        <v>76</v>
      </c>
      <c r="G297" t="s">
        <v>20</v>
      </c>
      <c r="H297" t="s">
        <v>81</v>
      </c>
      <c r="I297">
        <v>2</v>
      </c>
      <c r="J297">
        <v>2499</v>
      </c>
      <c r="K297">
        <v>4998</v>
      </c>
      <c r="L297">
        <v>0</v>
      </c>
      <c r="M297" t="s">
        <v>38</v>
      </c>
      <c r="N297" t="s">
        <v>47</v>
      </c>
      <c r="O297" t="s">
        <v>24</v>
      </c>
      <c r="P297" t="s">
        <v>125</v>
      </c>
    </row>
    <row r="298" spans="1:16" x14ac:dyDescent="0.25">
      <c r="A298" t="s">
        <v>485</v>
      </c>
      <c r="B298" s="3">
        <v>45915</v>
      </c>
      <c r="C298" t="s">
        <v>310</v>
      </c>
      <c r="D298" t="s">
        <v>35</v>
      </c>
      <c r="E298">
        <v>28</v>
      </c>
      <c r="F298" t="s">
        <v>19</v>
      </c>
      <c r="G298" t="s">
        <v>44</v>
      </c>
      <c r="H298" t="s">
        <v>235</v>
      </c>
      <c r="I298">
        <v>1</v>
      </c>
      <c r="J298">
        <v>799</v>
      </c>
      <c r="K298">
        <v>799</v>
      </c>
      <c r="L298">
        <v>0</v>
      </c>
      <c r="M298" t="s">
        <v>46</v>
      </c>
      <c r="N298" t="s">
        <v>31</v>
      </c>
      <c r="O298" t="s">
        <v>39</v>
      </c>
      <c r="P298" t="s">
        <v>78</v>
      </c>
    </row>
    <row r="299" spans="1:16" x14ac:dyDescent="0.25">
      <c r="A299" t="s">
        <v>486</v>
      </c>
      <c r="B299" s="3">
        <v>46009</v>
      </c>
      <c r="C299" t="s">
        <v>17</v>
      </c>
      <c r="D299" t="s">
        <v>35</v>
      </c>
      <c r="E299">
        <v>49</v>
      </c>
      <c r="F299" t="s">
        <v>60</v>
      </c>
      <c r="G299" t="s">
        <v>68</v>
      </c>
      <c r="H299" t="s">
        <v>94</v>
      </c>
      <c r="I299">
        <v>3</v>
      </c>
      <c r="J299">
        <v>799</v>
      </c>
      <c r="K299">
        <v>2397</v>
      </c>
      <c r="L299">
        <v>5</v>
      </c>
      <c r="M299" t="s">
        <v>53</v>
      </c>
      <c r="N299" t="s">
        <v>61</v>
      </c>
      <c r="O299" t="s">
        <v>24</v>
      </c>
      <c r="P299" t="s">
        <v>89</v>
      </c>
    </row>
    <row r="300" spans="1:16" x14ac:dyDescent="0.25">
      <c r="A300" t="s">
        <v>487</v>
      </c>
      <c r="B300" s="3">
        <v>45669</v>
      </c>
      <c r="C300" t="s">
        <v>310</v>
      </c>
      <c r="D300" t="s">
        <v>18</v>
      </c>
      <c r="E300">
        <v>25</v>
      </c>
      <c r="F300" t="s">
        <v>60</v>
      </c>
      <c r="G300" t="s">
        <v>29</v>
      </c>
      <c r="H300" t="s">
        <v>30</v>
      </c>
      <c r="I300">
        <v>2</v>
      </c>
      <c r="J300">
        <v>2499</v>
      </c>
      <c r="K300">
        <v>4998</v>
      </c>
      <c r="L300">
        <v>0</v>
      </c>
      <c r="M300" t="s">
        <v>22</v>
      </c>
      <c r="N300" t="s">
        <v>31</v>
      </c>
      <c r="O300" t="s">
        <v>48</v>
      </c>
      <c r="P300" t="s">
        <v>40</v>
      </c>
    </row>
    <row r="301" spans="1:16" x14ac:dyDescent="0.25">
      <c r="A301" t="s">
        <v>488</v>
      </c>
      <c r="B301" s="3">
        <v>45713</v>
      </c>
      <c r="C301" t="s">
        <v>164</v>
      </c>
      <c r="D301" t="s">
        <v>18</v>
      </c>
      <c r="E301">
        <v>21</v>
      </c>
      <c r="F301" t="s">
        <v>19</v>
      </c>
      <c r="G301" t="s">
        <v>20</v>
      </c>
      <c r="H301" t="s">
        <v>81</v>
      </c>
      <c r="I301">
        <v>1</v>
      </c>
      <c r="J301">
        <v>1999</v>
      </c>
      <c r="K301">
        <v>1999</v>
      </c>
      <c r="L301">
        <v>15</v>
      </c>
      <c r="M301" t="s">
        <v>22</v>
      </c>
      <c r="N301" t="s">
        <v>61</v>
      </c>
      <c r="O301" t="s">
        <v>24</v>
      </c>
      <c r="P301" t="s">
        <v>103</v>
      </c>
    </row>
    <row r="302" spans="1:16" x14ac:dyDescent="0.25">
      <c r="A302" t="s">
        <v>489</v>
      </c>
      <c r="B302" s="3">
        <v>46013</v>
      </c>
      <c r="C302" t="s">
        <v>377</v>
      </c>
      <c r="D302" t="s">
        <v>18</v>
      </c>
      <c r="E302">
        <v>37</v>
      </c>
      <c r="F302" t="s">
        <v>28</v>
      </c>
      <c r="G302" t="s">
        <v>44</v>
      </c>
      <c r="H302" t="s">
        <v>99</v>
      </c>
      <c r="I302">
        <v>2</v>
      </c>
      <c r="J302">
        <v>399</v>
      </c>
      <c r="K302">
        <v>798</v>
      </c>
      <c r="L302">
        <v>0</v>
      </c>
      <c r="M302" t="s">
        <v>85</v>
      </c>
      <c r="N302" t="s">
        <v>31</v>
      </c>
      <c r="O302" t="s">
        <v>48</v>
      </c>
      <c r="P302" t="s">
        <v>40</v>
      </c>
    </row>
    <row r="303" spans="1:16" x14ac:dyDescent="0.25">
      <c r="A303" t="s">
        <v>490</v>
      </c>
      <c r="B303" s="3">
        <v>45974</v>
      </c>
      <c r="C303" t="s">
        <v>88</v>
      </c>
      <c r="D303" t="s">
        <v>35</v>
      </c>
      <c r="E303">
        <v>25</v>
      </c>
      <c r="F303" t="s">
        <v>19</v>
      </c>
      <c r="G303" t="s">
        <v>29</v>
      </c>
      <c r="H303" t="s">
        <v>140</v>
      </c>
      <c r="I303">
        <v>1</v>
      </c>
      <c r="J303">
        <v>1299</v>
      </c>
      <c r="K303">
        <v>1299</v>
      </c>
      <c r="L303">
        <v>15</v>
      </c>
      <c r="M303" t="s">
        <v>53</v>
      </c>
      <c r="N303" t="s">
        <v>47</v>
      </c>
      <c r="O303" t="s">
        <v>39</v>
      </c>
      <c r="P303" t="s">
        <v>78</v>
      </c>
    </row>
    <row r="304" spans="1:16" x14ac:dyDescent="0.25">
      <c r="A304" t="s">
        <v>491</v>
      </c>
      <c r="B304" s="3">
        <v>45740</v>
      </c>
      <c r="C304" t="s">
        <v>192</v>
      </c>
      <c r="D304" t="s">
        <v>35</v>
      </c>
      <c r="E304">
        <v>31</v>
      </c>
      <c r="F304" t="s">
        <v>51</v>
      </c>
      <c r="G304" t="s">
        <v>29</v>
      </c>
      <c r="H304" t="s">
        <v>64</v>
      </c>
      <c r="I304">
        <v>4</v>
      </c>
      <c r="J304">
        <v>499</v>
      </c>
      <c r="K304">
        <v>1996</v>
      </c>
      <c r="L304">
        <v>10</v>
      </c>
      <c r="M304" t="s">
        <v>53</v>
      </c>
      <c r="N304" t="s">
        <v>23</v>
      </c>
      <c r="O304" t="s">
        <v>24</v>
      </c>
      <c r="P304" t="s">
        <v>25</v>
      </c>
    </row>
    <row r="305" spans="1:16" x14ac:dyDescent="0.25">
      <c r="A305" t="s">
        <v>492</v>
      </c>
      <c r="B305" s="3">
        <v>45704</v>
      </c>
      <c r="C305" t="s">
        <v>209</v>
      </c>
      <c r="D305" t="s">
        <v>18</v>
      </c>
      <c r="E305">
        <v>24</v>
      </c>
      <c r="F305" t="s">
        <v>43</v>
      </c>
      <c r="G305" t="s">
        <v>20</v>
      </c>
      <c r="H305" t="s">
        <v>81</v>
      </c>
      <c r="I305">
        <v>4</v>
      </c>
      <c r="J305">
        <v>299</v>
      </c>
      <c r="K305">
        <v>1196</v>
      </c>
      <c r="L305">
        <v>5</v>
      </c>
      <c r="M305" t="s">
        <v>22</v>
      </c>
      <c r="N305" t="s">
        <v>31</v>
      </c>
      <c r="O305" t="s">
        <v>39</v>
      </c>
      <c r="P305" t="s">
        <v>62</v>
      </c>
    </row>
    <row r="306" spans="1:16" x14ac:dyDescent="0.25">
      <c r="A306" t="s">
        <v>493</v>
      </c>
      <c r="B306" s="3">
        <v>45806</v>
      </c>
      <c r="C306" t="s">
        <v>342</v>
      </c>
      <c r="D306" t="s">
        <v>35</v>
      </c>
      <c r="E306">
        <v>45</v>
      </c>
      <c r="F306" t="s">
        <v>19</v>
      </c>
      <c r="G306" t="s">
        <v>20</v>
      </c>
      <c r="H306" t="s">
        <v>21</v>
      </c>
      <c r="I306">
        <v>2</v>
      </c>
      <c r="J306">
        <v>199</v>
      </c>
      <c r="K306">
        <v>398</v>
      </c>
      <c r="L306">
        <v>0</v>
      </c>
      <c r="M306" t="s">
        <v>38</v>
      </c>
      <c r="N306" t="s">
        <v>23</v>
      </c>
      <c r="O306" t="s">
        <v>24</v>
      </c>
      <c r="P306" t="s">
        <v>32</v>
      </c>
    </row>
    <row r="307" spans="1:16" x14ac:dyDescent="0.25">
      <c r="A307" t="s">
        <v>494</v>
      </c>
      <c r="B307" s="3">
        <v>45795</v>
      </c>
      <c r="C307" t="s">
        <v>495</v>
      </c>
      <c r="D307" t="s">
        <v>18</v>
      </c>
      <c r="E307">
        <v>41</v>
      </c>
      <c r="F307" t="s">
        <v>60</v>
      </c>
      <c r="G307" t="s">
        <v>44</v>
      </c>
      <c r="H307" t="s">
        <v>177</v>
      </c>
      <c r="I307">
        <v>4</v>
      </c>
      <c r="J307">
        <v>1499</v>
      </c>
      <c r="K307">
        <v>5996</v>
      </c>
      <c r="L307">
        <v>5</v>
      </c>
      <c r="M307" t="s">
        <v>38</v>
      </c>
      <c r="N307" t="s">
        <v>61</v>
      </c>
      <c r="O307" t="s">
        <v>39</v>
      </c>
      <c r="P307" t="s">
        <v>62</v>
      </c>
    </row>
    <row r="308" spans="1:16" x14ac:dyDescent="0.25">
      <c r="A308" t="s">
        <v>496</v>
      </c>
      <c r="B308" s="3">
        <v>45990</v>
      </c>
      <c r="C308" t="s">
        <v>414</v>
      </c>
      <c r="D308" t="s">
        <v>18</v>
      </c>
      <c r="E308">
        <v>26</v>
      </c>
      <c r="F308" t="s">
        <v>98</v>
      </c>
      <c r="G308" t="s">
        <v>44</v>
      </c>
      <c r="H308" t="s">
        <v>99</v>
      </c>
      <c r="I308">
        <v>4</v>
      </c>
      <c r="J308">
        <v>799</v>
      </c>
      <c r="K308">
        <v>3196</v>
      </c>
      <c r="L308">
        <v>5</v>
      </c>
      <c r="M308" t="s">
        <v>38</v>
      </c>
      <c r="N308" t="s">
        <v>61</v>
      </c>
      <c r="O308" t="s">
        <v>48</v>
      </c>
      <c r="P308" t="s">
        <v>82</v>
      </c>
    </row>
    <row r="309" spans="1:16" x14ac:dyDescent="0.25">
      <c r="A309" t="s">
        <v>497</v>
      </c>
      <c r="B309" s="3">
        <v>45852</v>
      </c>
      <c r="C309" t="s">
        <v>209</v>
      </c>
      <c r="D309" t="s">
        <v>35</v>
      </c>
      <c r="E309">
        <v>57</v>
      </c>
      <c r="F309" t="s">
        <v>98</v>
      </c>
      <c r="G309" t="s">
        <v>68</v>
      </c>
      <c r="H309" t="s">
        <v>69</v>
      </c>
      <c r="I309">
        <v>2</v>
      </c>
      <c r="J309">
        <v>1499</v>
      </c>
      <c r="K309">
        <v>2998</v>
      </c>
      <c r="L309">
        <v>5</v>
      </c>
      <c r="M309" t="s">
        <v>22</v>
      </c>
      <c r="N309" t="s">
        <v>61</v>
      </c>
      <c r="O309" t="s">
        <v>24</v>
      </c>
      <c r="P309" t="s">
        <v>134</v>
      </c>
    </row>
    <row r="310" spans="1:16" x14ac:dyDescent="0.25">
      <c r="A310" t="s">
        <v>498</v>
      </c>
      <c r="B310" s="3">
        <v>45993</v>
      </c>
      <c r="C310" t="s">
        <v>304</v>
      </c>
      <c r="D310" t="s">
        <v>18</v>
      </c>
      <c r="E310">
        <v>51</v>
      </c>
      <c r="F310" t="s">
        <v>76</v>
      </c>
      <c r="G310" t="s">
        <v>36</v>
      </c>
      <c r="H310" t="s">
        <v>156</v>
      </c>
      <c r="I310">
        <v>1</v>
      </c>
      <c r="J310">
        <v>499</v>
      </c>
      <c r="K310">
        <v>499</v>
      </c>
      <c r="L310">
        <v>10</v>
      </c>
      <c r="M310" t="s">
        <v>85</v>
      </c>
      <c r="N310" t="s">
        <v>23</v>
      </c>
      <c r="O310" t="s">
        <v>39</v>
      </c>
      <c r="P310" t="s">
        <v>89</v>
      </c>
    </row>
    <row r="311" spans="1:16" x14ac:dyDescent="0.25">
      <c r="A311" t="s">
        <v>499</v>
      </c>
      <c r="B311" s="3">
        <v>45943</v>
      </c>
      <c r="C311" t="s">
        <v>239</v>
      </c>
      <c r="D311" t="s">
        <v>18</v>
      </c>
      <c r="E311">
        <v>18</v>
      </c>
      <c r="F311" t="s">
        <v>124</v>
      </c>
      <c r="G311" t="s">
        <v>36</v>
      </c>
      <c r="H311" t="s">
        <v>37</v>
      </c>
      <c r="I311">
        <v>4</v>
      </c>
      <c r="J311">
        <v>299</v>
      </c>
      <c r="K311">
        <v>1196</v>
      </c>
      <c r="L311">
        <v>20</v>
      </c>
      <c r="M311" t="s">
        <v>22</v>
      </c>
      <c r="N311" t="s">
        <v>61</v>
      </c>
      <c r="O311" t="s">
        <v>24</v>
      </c>
      <c r="P311" t="s">
        <v>25</v>
      </c>
    </row>
    <row r="312" spans="1:16" x14ac:dyDescent="0.25">
      <c r="A312" t="s">
        <v>500</v>
      </c>
      <c r="B312" s="3">
        <v>45800</v>
      </c>
      <c r="C312" t="s">
        <v>250</v>
      </c>
      <c r="D312" t="s">
        <v>18</v>
      </c>
      <c r="E312">
        <v>53</v>
      </c>
      <c r="F312" t="s">
        <v>28</v>
      </c>
      <c r="G312" t="s">
        <v>36</v>
      </c>
      <c r="H312" t="s">
        <v>37</v>
      </c>
      <c r="I312">
        <v>2</v>
      </c>
      <c r="J312">
        <v>599</v>
      </c>
      <c r="K312">
        <v>1198</v>
      </c>
      <c r="L312">
        <v>15</v>
      </c>
      <c r="M312" t="s">
        <v>53</v>
      </c>
      <c r="N312" t="s">
        <v>23</v>
      </c>
      <c r="O312" t="s">
        <v>39</v>
      </c>
      <c r="P312" t="s">
        <v>62</v>
      </c>
    </row>
    <row r="313" spans="1:16" x14ac:dyDescent="0.25">
      <c r="A313" t="s">
        <v>501</v>
      </c>
      <c r="B313" s="3">
        <v>45886</v>
      </c>
      <c r="C313" t="s">
        <v>304</v>
      </c>
      <c r="D313" t="s">
        <v>18</v>
      </c>
      <c r="E313">
        <v>49</v>
      </c>
      <c r="F313" t="s">
        <v>98</v>
      </c>
      <c r="G313" t="s">
        <v>68</v>
      </c>
      <c r="H313" t="s">
        <v>69</v>
      </c>
      <c r="I313">
        <v>1</v>
      </c>
      <c r="J313">
        <v>999</v>
      </c>
      <c r="K313">
        <v>999</v>
      </c>
      <c r="L313">
        <v>0</v>
      </c>
      <c r="M313" t="s">
        <v>22</v>
      </c>
      <c r="N313" t="s">
        <v>61</v>
      </c>
      <c r="O313" t="s">
        <v>24</v>
      </c>
      <c r="P313" t="s">
        <v>103</v>
      </c>
    </row>
    <row r="314" spans="1:16" x14ac:dyDescent="0.25">
      <c r="A314" t="s">
        <v>502</v>
      </c>
      <c r="B314" s="3">
        <v>45974</v>
      </c>
      <c r="C314" t="s">
        <v>261</v>
      </c>
      <c r="D314" t="s">
        <v>35</v>
      </c>
      <c r="E314">
        <v>50</v>
      </c>
      <c r="F314" t="s">
        <v>76</v>
      </c>
      <c r="G314" t="s">
        <v>68</v>
      </c>
      <c r="H314" t="s">
        <v>73</v>
      </c>
      <c r="I314">
        <v>1</v>
      </c>
      <c r="J314">
        <v>1499</v>
      </c>
      <c r="K314">
        <v>1499</v>
      </c>
      <c r="L314">
        <v>15</v>
      </c>
      <c r="M314" t="s">
        <v>46</v>
      </c>
      <c r="N314" t="s">
        <v>31</v>
      </c>
      <c r="O314" t="s">
        <v>24</v>
      </c>
      <c r="P314" t="s">
        <v>89</v>
      </c>
    </row>
    <row r="315" spans="1:16" x14ac:dyDescent="0.25">
      <c r="A315" t="s">
        <v>503</v>
      </c>
      <c r="B315" s="3">
        <v>45965</v>
      </c>
      <c r="C315" t="s">
        <v>84</v>
      </c>
      <c r="D315" t="s">
        <v>35</v>
      </c>
      <c r="E315">
        <v>46</v>
      </c>
      <c r="F315" t="s">
        <v>19</v>
      </c>
      <c r="G315" t="s">
        <v>36</v>
      </c>
      <c r="H315" t="s">
        <v>37</v>
      </c>
      <c r="I315">
        <v>5</v>
      </c>
      <c r="J315">
        <v>1499</v>
      </c>
      <c r="K315">
        <v>7495</v>
      </c>
      <c r="L315">
        <v>0</v>
      </c>
      <c r="M315" t="s">
        <v>53</v>
      </c>
      <c r="N315" t="s">
        <v>23</v>
      </c>
      <c r="O315" t="s">
        <v>39</v>
      </c>
      <c r="P315" t="s">
        <v>125</v>
      </c>
    </row>
    <row r="316" spans="1:16" x14ac:dyDescent="0.25">
      <c r="A316" t="s">
        <v>504</v>
      </c>
      <c r="B316" s="3">
        <v>46017</v>
      </c>
      <c r="C316" t="s">
        <v>75</v>
      </c>
      <c r="D316" t="s">
        <v>18</v>
      </c>
      <c r="E316">
        <v>28</v>
      </c>
      <c r="F316" t="s">
        <v>51</v>
      </c>
      <c r="G316" t="s">
        <v>44</v>
      </c>
      <c r="H316" t="s">
        <v>151</v>
      </c>
      <c r="I316">
        <v>5</v>
      </c>
      <c r="J316">
        <v>599</v>
      </c>
      <c r="K316">
        <v>2995</v>
      </c>
      <c r="L316">
        <v>5</v>
      </c>
      <c r="M316" t="s">
        <v>22</v>
      </c>
      <c r="N316" t="s">
        <v>23</v>
      </c>
      <c r="O316" t="s">
        <v>39</v>
      </c>
      <c r="P316" t="s">
        <v>40</v>
      </c>
    </row>
    <row r="317" spans="1:16" x14ac:dyDescent="0.25">
      <c r="A317" t="s">
        <v>505</v>
      </c>
      <c r="B317" s="3">
        <v>45768</v>
      </c>
      <c r="C317" t="s">
        <v>112</v>
      </c>
      <c r="D317" t="s">
        <v>18</v>
      </c>
      <c r="E317">
        <v>39</v>
      </c>
      <c r="F317" t="s">
        <v>19</v>
      </c>
      <c r="G317" t="s">
        <v>29</v>
      </c>
      <c r="H317" t="s">
        <v>30</v>
      </c>
      <c r="I317">
        <v>1</v>
      </c>
      <c r="J317">
        <v>799</v>
      </c>
      <c r="K317">
        <v>799</v>
      </c>
      <c r="L317">
        <v>15</v>
      </c>
      <c r="M317" t="s">
        <v>38</v>
      </c>
      <c r="N317" t="s">
        <v>23</v>
      </c>
      <c r="O317" t="s">
        <v>39</v>
      </c>
      <c r="P317" t="s">
        <v>62</v>
      </c>
    </row>
    <row r="318" spans="1:16" x14ac:dyDescent="0.25">
      <c r="A318" t="s">
        <v>506</v>
      </c>
      <c r="B318" s="3">
        <v>45660</v>
      </c>
      <c r="C318" t="s">
        <v>286</v>
      </c>
      <c r="D318" t="s">
        <v>18</v>
      </c>
      <c r="E318">
        <v>53</v>
      </c>
      <c r="F318" t="s">
        <v>28</v>
      </c>
      <c r="G318" t="s">
        <v>68</v>
      </c>
      <c r="H318" t="s">
        <v>94</v>
      </c>
      <c r="I318">
        <v>2</v>
      </c>
      <c r="J318">
        <v>999</v>
      </c>
      <c r="K318">
        <v>1998</v>
      </c>
      <c r="L318">
        <v>20</v>
      </c>
      <c r="M318" t="s">
        <v>22</v>
      </c>
      <c r="N318" t="s">
        <v>47</v>
      </c>
      <c r="O318" t="s">
        <v>48</v>
      </c>
      <c r="P318" t="s">
        <v>193</v>
      </c>
    </row>
    <row r="319" spans="1:16" x14ac:dyDescent="0.25">
      <c r="A319" t="s">
        <v>507</v>
      </c>
      <c r="B319" s="3">
        <v>45994</v>
      </c>
      <c r="C319" t="s">
        <v>270</v>
      </c>
      <c r="D319" t="s">
        <v>35</v>
      </c>
      <c r="E319">
        <v>50</v>
      </c>
      <c r="F319" t="s">
        <v>28</v>
      </c>
      <c r="G319" t="s">
        <v>29</v>
      </c>
      <c r="H319" t="s">
        <v>30</v>
      </c>
      <c r="I319">
        <v>1</v>
      </c>
      <c r="J319">
        <v>799</v>
      </c>
      <c r="K319">
        <v>799</v>
      </c>
      <c r="L319">
        <v>15</v>
      </c>
      <c r="M319" t="s">
        <v>85</v>
      </c>
      <c r="N319" t="s">
        <v>47</v>
      </c>
      <c r="O319" t="s">
        <v>39</v>
      </c>
      <c r="P319" t="s">
        <v>157</v>
      </c>
    </row>
    <row r="320" spans="1:16" x14ac:dyDescent="0.25">
      <c r="A320" t="s">
        <v>508</v>
      </c>
      <c r="B320" s="3">
        <v>45728</v>
      </c>
      <c r="C320" t="s">
        <v>93</v>
      </c>
      <c r="D320" t="s">
        <v>35</v>
      </c>
      <c r="E320">
        <v>53</v>
      </c>
      <c r="F320" t="s">
        <v>60</v>
      </c>
      <c r="G320" t="s">
        <v>44</v>
      </c>
      <c r="H320" t="s">
        <v>177</v>
      </c>
      <c r="I320">
        <v>4</v>
      </c>
      <c r="J320">
        <v>299</v>
      </c>
      <c r="K320">
        <v>1196</v>
      </c>
      <c r="L320">
        <v>20</v>
      </c>
      <c r="M320" t="s">
        <v>53</v>
      </c>
      <c r="N320" t="s">
        <v>47</v>
      </c>
      <c r="O320" t="s">
        <v>24</v>
      </c>
      <c r="P320" t="s">
        <v>40</v>
      </c>
    </row>
    <row r="321" spans="1:16" x14ac:dyDescent="0.25">
      <c r="A321" t="s">
        <v>509</v>
      </c>
      <c r="B321" s="3">
        <v>45990</v>
      </c>
      <c r="C321" t="s">
        <v>224</v>
      </c>
      <c r="D321" t="s">
        <v>35</v>
      </c>
      <c r="E321">
        <v>25</v>
      </c>
      <c r="F321" t="s">
        <v>60</v>
      </c>
      <c r="G321" t="s">
        <v>44</v>
      </c>
      <c r="H321" t="s">
        <v>177</v>
      </c>
      <c r="I321">
        <v>2</v>
      </c>
      <c r="J321">
        <v>2499</v>
      </c>
      <c r="K321">
        <v>4998</v>
      </c>
      <c r="L321">
        <v>20</v>
      </c>
      <c r="M321" t="s">
        <v>22</v>
      </c>
      <c r="N321" t="s">
        <v>61</v>
      </c>
      <c r="O321" t="s">
        <v>48</v>
      </c>
      <c r="P321" t="s">
        <v>103</v>
      </c>
    </row>
    <row r="322" spans="1:16" x14ac:dyDescent="0.25">
      <c r="A322" t="s">
        <v>510</v>
      </c>
      <c r="B322" s="3">
        <v>45712</v>
      </c>
      <c r="C322" t="s">
        <v>161</v>
      </c>
      <c r="D322" t="s">
        <v>35</v>
      </c>
      <c r="E322">
        <v>27</v>
      </c>
      <c r="F322" t="s">
        <v>98</v>
      </c>
      <c r="G322" t="s">
        <v>44</v>
      </c>
      <c r="H322" t="s">
        <v>99</v>
      </c>
      <c r="I322">
        <v>1</v>
      </c>
      <c r="J322">
        <v>1299</v>
      </c>
      <c r="K322">
        <v>1299</v>
      </c>
      <c r="L322">
        <v>0</v>
      </c>
      <c r="M322" t="s">
        <v>53</v>
      </c>
      <c r="N322" t="s">
        <v>31</v>
      </c>
      <c r="O322" t="s">
        <v>24</v>
      </c>
      <c r="P322" t="s">
        <v>86</v>
      </c>
    </row>
    <row r="323" spans="1:16" x14ac:dyDescent="0.25">
      <c r="A323" t="s">
        <v>511</v>
      </c>
      <c r="B323" s="3">
        <v>45809</v>
      </c>
      <c r="C323" t="s">
        <v>353</v>
      </c>
      <c r="D323" t="s">
        <v>18</v>
      </c>
      <c r="E323">
        <v>40</v>
      </c>
      <c r="F323" t="s">
        <v>51</v>
      </c>
      <c r="G323" t="s">
        <v>44</v>
      </c>
      <c r="H323" t="s">
        <v>235</v>
      </c>
      <c r="I323">
        <v>1</v>
      </c>
      <c r="J323">
        <v>2499</v>
      </c>
      <c r="K323">
        <v>2499</v>
      </c>
      <c r="L323">
        <v>0</v>
      </c>
      <c r="M323" t="s">
        <v>85</v>
      </c>
      <c r="N323" t="s">
        <v>47</v>
      </c>
      <c r="O323" t="s">
        <v>48</v>
      </c>
      <c r="P323" t="s">
        <v>103</v>
      </c>
    </row>
    <row r="324" spans="1:16" x14ac:dyDescent="0.25">
      <c r="A324" t="s">
        <v>512</v>
      </c>
      <c r="B324" s="3">
        <v>45805</v>
      </c>
      <c r="C324" t="s">
        <v>153</v>
      </c>
      <c r="D324" t="s">
        <v>18</v>
      </c>
      <c r="E324">
        <v>42</v>
      </c>
      <c r="F324" t="s">
        <v>28</v>
      </c>
      <c r="G324" t="s">
        <v>36</v>
      </c>
      <c r="H324" t="s">
        <v>102</v>
      </c>
      <c r="I324">
        <v>5</v>
      </c>
      <c r="J324">
        <v>2499</v>
      </c>
      <c r="K324">
        <v>12495</v>
      </c>
      <c r="L324">
        <v>15</v>
      </c>
      <c r="M324" t="s">
        <v>46</v>
      </c>
      <c r="N324" t="s">
        <v>23</v>
      </c>
      <c r="O324" t="s">
        <v>24</v>
      </c>
      <c r="P324" t="s">
        <v>70</v>
      </c>
    </row>
    <row r="325" spans="1:16" x14ac:dyDescent="0.25">
      <c r="A325" t="s">
        <v>513</v>
      </c>
      <c r="B325" s="3">
        <v>45982</v>
      </c>
      <c r="C325" t="s">
        <v>257</v>
      </c>
      <c r="D325" t="s">
        <v>35</v>
      </c>
      <c r="E325">
        <v>55</v>
      </c>
      <c r="F325" t="s">
        <v>76</v>
      </c>
      <c r="G325" t="s">
        <v>29</v>
      </c>
      <c r="H325" t="s">
        <v>200</v>
      </c>
      <c r="I325">
        <v>4</v>
      </c>
      <c r="J325">
        <v>399</v>
      </c>
      <c r="K325">
        <v>1596</v>
      </c>
      <c r="L325">
        <v>5</v>
      </c>
      <c r="M325" t="s">
        <v>46</v>
      </c>
      <c r="N325" t="s">
        <v>61</v>
      </c>
      <c r="O325" t="s">
        <v>24</v>
      </c>
      <c r="P325" t="s">
        <v>25</v>
      </c>
    </row>
    <row r="326" spans="1:16" x14ac:dyDescent="0.25">
      <c r="A326" t="s">
        <v>514</v>
      </c>
      <c r="B326" s="3">
        <v>45851</v>
      </c>
      <c r="C326" t="s">
        <v>192</v>
      </c>
      <c r="D326" t="s">
        <v>35</v>
      </c>
      <c r="E326">
        <v>35</v>
      </c>
      <c r="F326" t="s">
        <v>43</v>
      </c>
      <c r="G326" t="s">
        <v>29</v>
      </c>
      <c r="H326" t="s">
        <v>30</v>
      </c>
      <c r="I326">
        <v>5</v>
      </c>
      <c r="J326">
        <v>249</v>
      </c>
      <c r="K326">
        <v>1245</v>
      </c>
      <c r="L326">
        <v>5</v>
      </c>
      <c r="M326" t="s">
        <v>53</v>
      </c>
      <c r="N326" t="s">
        <v>31</v>
      </c>
      <c r="O326" t="s">
        <v>24</v>
      </c>
      <c r="P326" t="s">
        <v>57</v>
      </c>
    </row>
    <row r="327" spans="1:16" x14ac:dyDescent="0.25">
      <c r="A327" t="s">
        <v>515</v>
      </c>
      <c r="B327" s="3">
        <v>45823</v>
      </c>
      <c r="C327" t="s">
        <v>270</v>
      </c>
      <c r="D327" t="s">
        <v>18</v>
      </c>
      <c r="E327">
        <v>58</v>
      </c>
      <c r="F327" t="s">
        <v>43</v>
      </c>
      <c r="G327" t="s">
        <v>36</v>
      </c>
      <c r="H327" t="s">
        <v>102</v>
      </c>
      <c r="I327">
        <v>1</v>
      </c>
      <c r="J327">
        <v>299</v>
      </c>
      <c r="K327">
        <v>299</v>
      </c>
      <c r="L327">
        <v>15</v>
      </c>
      <c r="M327" t="s">
        <v>85</v>
      </c>
      <c r="N327" t="s">
        <v>31</v>
      </c>
      <c r="O327" t="s">
        <v>24</v>
      </c>
      <c r="P327" t="s">
        <v>57</v>
      </c>
    </row>
    <row r="328" spans="1:16" x14ac:dyDescent="0.25">
      <c r="A328" t="s">
        <v>516</v>
      </c>
      <c r="B328" s="3">
        <v>45692</v>
      </c>
      <c r="C328" t="s">
        <v>370</v>
      </c>
      <c r="D328" t="s">
        <v>18</v>
      </c>
      <c r="E328">
        <v>44</v>
      </c>
      <c r="F328" t="s">
        <v>28</v>
      </c>
      <c r="G328" t="s">
        <v>68</v>
      </c>
      <c r="H328" t="s">
        <v>137</v>
      </c>
      <c r="I328">
        <v>2</v>
      </c>
      <c r="J328">
        <v>1299</v>
      </c>
      <c r="K328">
        <v>2598</v>
      </c>
      <c r="L328">
        <v>0</v>
      </c>
      <c r="M328" t="s">
        <v>46</v>
      </c>
      <c r="N328" t="s">
        <v>47</v>
      </c>
      <c r="O328" t="s">
        <v>24</v>
      </c>
      <c r="P328" t="s">
        <v>57</v>
      </c>
    </row>
    <row r="329" spans="1:16" x14ac:dyDescent="0.25">
      <c r="A329" t="s">
        <v>517</v>
      </c>
      <c r="B329" s="3">
        <v>45974</v>
      </c>
      <c r="C329" t="s">
        <v>286</v>
      </c>
      <c r="D329" t="s">
        <v>35</v>
      </c>
      <c r="E329">
        <v>53</v>
      </c>
      <c r="F329" t="s">
        <v>98</v>
      </c>
      <c r="G329" t="s">
        <v>44</v>
      </c>
      <c r="H329" t="s">
        <v>177</v>
      </c>
      <c r="I329">
        <v>3</v>
      </c>
      <c r="J329">
        <v>399</v>
      </c>
      <c r="K329">
        <v>1197</v>
      </c>
      <c r="L329">
        <v>0</v>
      </c>
      <c r="M329" t="s">
        <v>46</v>
      </c>
      <c r="N329" t="s">
        <v>61</v>
      </c>
      <c r="O329" t="s">
        <v>24</v>
      </c>
      <c r="P329" t="s">
        <v>40</v>
      </c>
    </row>
    <row r="330" spans="1:16" x14ac:dyDescent="0.25">
      <c r="A330" t="s">
        <v>518</v>
      </c>
      <c r="B330" s="3">
        <v>45822</v>
      </c>
      <c r="C330" t="s">
        <v>42</v>
      </c>
      <c r="D330" t="s">
        <v>18</v>
      </c>
      <c r="E330">
        <v>42</v>
      </c>
      <c r="F330" t="s">
        <v>43</v>
      </c>
      <c r="G330" t="s">
        <v>68</v>
      </c>
      <c r="H330" t="s">
        <v>137</v>
      </c>
      <c r="I330">
        <v>1</v>
      </c>
      <c r="J330">
        <v>1999</v>
      </c>
      <c r="K330">
        <v>1999</v>
      </c>
      <c r="L330">
        <v>20</v>
      </c>
      <c r="M330" t="s">
        <v>46</v>
      </c>
      <c r="N330" t="s">
        <v>23</v>
      </c>
      <c r="O330" t="s">
        <v>48</v>
      </c>
      <c r="P330" t="s">
        <v>125</v>
      </c>
    </row>
    <row r="331" spans="1:16" x14ac:dyDescent="0.25">
      <c r="A331" t="s">
        <v>519</v>
      </c>
      <c r="B331" s="3">
        <v>45680</v>
      </c>
      <c r="C331" t="s">
        <v>180</v>
      </c>
      <c r="D331" t="s">
        <v>18</v>
      </c>
      <c r="E331">
        <v>38</v>
      </c>
      <c r="F331" t="s">
        <v>19</v>
      </c>
      <c r="G331" t="s">
        <v>68</v>
      </c>
      <c r="H331" t="s">
        <v>94</v>
      </c>
      <c r="I331">
        <v>4</v>
      </c>
      <c r="J331">
        <v>999</v>
      </c>
      <c r="K331">
        <v>3996</v>
      </c>
      <c r="L331">
        <v>0</v>
      </c>
      <c r="M331" t="s">
        <v>53</v>
      </c>
      <c r="N331" t="s">
        <v>23</v>
      </c>
      <c r="O331" t="s">
        <v>48</v>
      </c>
      <c r="P331" t="s">
        <v>25</v>
      </c>
    </row>
    <row r="332" spans="1:16" x14ac:dyDescent="0.25">
      <c r="A332" t="s">
        <v>520</v>
      </c>
      <c r="B332" s="3">
        <v>45763</v>
      </c>
      <c r="C332" t="s">
        <v>56</v>
      </c>
      <c r="D332" t="s">
        <v>35</v>
      </c>
      <c r="E332">
        <v>59</v>
      </c>
      <c r="F332" t="s">
        <v>19</v>
      </c>
      <c r="G332" t="s">
        <v>29</v>
      </c>
      <c r="H332" t="s">
        <v>30</v>
      </c>
      <c r="I332">
        <v>2</v>
      </c>
      <c r="J332">
        <v>249</v>
      </c>
      <c r="K332">
        <v>996</v>
      </c>
      <c r="L332">
        <v>5</v>
      </c>
      <c r="M332" t="s">
        <v>38</v>
      </c>
      <c r="N332" t="s">
        <v>61</v>
      </c>
      <c r="O332" t="s">
        <v>48</v>
      </c>
      <c r="P332" t="s">
        <v>57</v>
      </c>
    </row>
    <row r="333" spans="1:16" x14ac:dyDescent="0.25">
      <c r="A333" t="s">
        <v>521</v>
      </c>
      <c r="B333" s="3">
        <v>45749</v>
      </c>
      <c r="C333" t="s">
        <v>197</v>
      </c>
      <c r="D333" t="s">
        <v>18</v>
      </c>
      <c r="E333">
        <v>54</v>
      </c>
      <c r="F333" t="s">
        <v>76</v>
      </c>
      <c r="G333" t="s">
        <v>20</v>
      </c>
      <c r="H333" t="s">
        <v>21</v>
      </c>
      <c r="I333">
        <v>1</v>
      </c>
      <c r="J333">
        <v>199</v>
      </c>
      <c r="K333">
        <v>199</v>
      </c>
      <c r="L333">
        <v>10</v>
      </c>
      <c r="M333" t="s">
        <v>22</v>
      </c>
      <c r="N333" t="s">
        <v>61</v>
      </c>
      <c r="O333" t="s">
        <v>39</v>
      </c>
      <c r="P333" t="s">
        <v>157</v>
      </c>
    </row>
    <row r="334" spans="1:16" x14ac:dyDescent="0.25">
      <c r="A334" t="s">
        <v>522</v>
      </c>
      <c r="B334" s="3">
        <v>46002</v>
      </c>
      <c r="C334" t="s">
        <v>88</v>
      </c>
      <c r="D334" t="s">
        <v>18</v>
      </c>
      <c r="E334">
        <v>59</v>
      </c>
      <c r="F334" t="s">
        <v>19</v>
      </c>
      <c r="G334" t="s">
        <v>36</v>
      </c>
      <c r="H334" t="s">
        <v>37</v>
      </c>
      <c r="I334">
        <v>1</v>
      </c>
      <c r="J334">
        <v>799</v>
      </c>
      <c r="K334">
        <v>799</v>
      </c>
      <c r="L334">
        <v>20</v>
      </c>
      <c r="M334" t="s">
        <v>38</v>
      </c>
      <c r="N334" t="s">
        <v>23</v>
      </c>
      <c r="O334" t="s">
        <v>39</v>
      </c>
      <c r="P334" t="s">
        <v>78</v>
      </c>
    </row>
    <row r="335" spans="1:16" x14ac:dyDescent="0.25">
      <c r="A335" t="s">
        <v>523</v>
      </c>
      <c r="B335" s="3">
        <v>45702</v>
      </c>
      <c r="C335" t="s">
        <v>116</v>
      </c>
      <c r="D335" t="s">
        <v>35</v>
      </c>
      <c r="E335">
        <v>42</v>
      </c>
      <c r="F335" t="s">
        <v>28</v>
      </c>
      <c r="G335" t="s">
        <v>20</v>
      </c>
      <c r="H335" t="s">
        <v>77</v>
      </c>
      <c r="I335">
        <v>3</v>
      </c>
      <c r="J335">
        <v>1499</v>
      </c>
      <c r="K335">
        <v>4497</v>
      </c>
      <c r="L335">
        <v>0</v>
      </c>
      <c r="M335" t="s">
        <v>22</v>
      </c>
      <c r="N335" t="s">
        <v>47</v>
      </c>
      <c r="O335" t="s">
        <v>48</v>
      </c>
      <c r="P335" t="s">
        <v>89</v>
      </c>
    </row>
    <row r="336" spans="1:16" x14ac:dyDescent="0.25">
      <c r="A336" t="s">
        <v>524</v>
      </c>
      <c r="B336" s="3">
        <v>45982</v>
      </c>
      <c r="C336" t="s">
        <v>319</v>
      </c>
      <c r="D336" t="s">
        <v>35</v>
      </c>
      <c r="E336">
        <v>59</v>
      </c>
      <c r="F336" t="s">
        <v>60</v>
      </c>
      <c r="G336" t="s">
        <v>29</v>
      </c>
      <c r="H336" t="s">
        <v>140</v>
      </c>
      <c r="I336">
        <v>5</v>
      </c>
      <c r="J336">
        <v>499</v>
      </c>
      <c r="K336">
        <v>2495</v>
      </c>
      <c r="L336">
        <v>0</v>
      </c>
      <c r="M336" t="s">
        <v>85</v>
      </c>
      <c r="N336" t="s">
        <v>47</v>
      </c>
      <c r="O336" t="s">
        <v>24</v>
      </c>
      <c r="P336" t="s">
        <v>117</v>
      </c>
    </row>
    <row r="337" spans="1:16" x14ac:dyDescent="0.25">
      <c r="A337" t="s">
        <v>525</v>
      </c>
      <c r="B337" s="3">
        <v>45933</v>
      </c>
      <c r="C337" t="s">
        <v>97</v>
      </c>
      <c r="D337" t="s">
        <v>18</v>
      </c>
      <c r="E337">
        <v>37</v>
      </c>
      <c r="F337" t="s">
        <v>76</v>
      </c>
      <c r="G337" t="s">
        <v>20</v>
      </c>
      <c r="H337" t="s">
        <v>81</v>
      </c>
      <c r="I337">
        <v>5</v>
      </c>
      <c r="J337">
        <v>799</v>
      </c>
      <c r="K337">
        <v>3995</v>
      </c>
      <c r="L337">
        <v>10</v>
      </c>
      <c r="M337" t="s">
        <v>53</v>
      </c>
      <c r="N337" t="s">
        <v>61</v>
      </c>
      <c r="O337" t="s">
        <v>48</v>
      </c>
      <c r="P337" t="s">
        <v>78</v>
      </c>
    </row>
    <row r="338" spans="1:16" x14ac:dyDescent="0.25">
      <c r="A338" t="s">
        <v>526</v>
      </c>
      <c r="B338" s="3">
        <v>45973</v>
      </c>
      <c r="C338" t="s">
        <v>197</v>
      </c>
      <c r="D338" t="s">
        <v>18</v>
      </c>
      <c r="E338">
        <v>25</v>
      </c>
      <c r="F338" t="s">
        <v>124</v>
      </c>
      <c r="G338" t="s">
        <v>29</v>
      </c>
      <c r="H338" t="s">
        <v>30</v>
      </c>
      <c r="I338">
        <v>2</v>
      </c>
      <c r="J338">
        <v>399</v>
      </c>
      <c r="K338">
        <v>798</v>
      </c>
      <c r="L338">
        <v>20</v>
      </c>
      <c r="M338" t="s">
        <v>38</v>
      </c>
      <c r="N338" t="s">
        <v>61</v>
      </c>
      <c r="O338" t="s">
        <v>48</v>
      </c>
      <c r="P338" t="s">
        <v>103</v>
      </c>
    </row>
    <row r="339" spans="1:16" x14ac:dyDescent="0.25">
      <c r="A339" t="s">
        <v>527</v>
      </c>
      <c r="B339" s="3">
        <v>45708</v>
      </c>
      <c r="C339" t="s">
        <v>280</v>
      </c>
      <c r="D339" t="s">
        <v>35</v>
      </c>
      <c r="E339">
        <v>39</v>
      </c>
      <c r="F339" t="s">
        <v>60</v>
      </c>
      <c r="G339" t="s">
        <v>20</v>
      </c>
      <c r="H339" t="s">
        <v>77</v>
      </c>
      <c r="I339">
        <v>1</v>
      </c>
      <c r="J339">
        <v>499</v>
      </c>
      <c r="K339">
        <v>499</v>
      </c>
      <c r="L339">
        <v>5</v>
      </c>
      <c r="M339" t="s">
        <v>53</v>
      </c>
      <c r="N339" t="s">
        <v>23</v>
      </c>
      <c r="O339" t="s">
        <v>39</v>
      </c>
      <c r="P339" t="s">
        <v>40</v>
      </c>
    </row>
    <row r="340" spans="1:16" x14ac:dyDescent="0.25">
      <c r="A340" t="s">
        <v>528</v>
      </c>
      <c r="B340" s="3">
        <v>45888</v>
      </c>
      <c r="C340" t="s">
        <v>119</v>
      </c>
      <c r="D340" t="s">
        <v>35</v>
      </c>
      <c r="E340">
        <v>55</v>
      </c>
      <c r="F340" t="s">
        <v>124</v>
      </c>
      <c r="G340" t="s">
        <v>20</v>
      </c>
      <c r="H340" t="s">
        <v>52</v>
      </c>
      <c r="I340">
        <v>3</v>
      </c>
      <c r="J340">
        <v>999</v>
      </c>
      <c r="K340">
        <v>2997</v>
      </c>
      <c r="L340">
        <v>20</v>
      </c>
      <c r="M340" t="s">
        <v>85</v>
      </c>
      <c r="N340" t="s">
        <v>31</v>
      </c>
      <c r="O340" t="s">
        <v>39</v>
      </c>
      <c r="P340" t="s">
        <v>134</v>
      </c>
    </row>
    <row r="341" spans="1:16" x14ac:dyDescent="0.25">
      <c r="A341" t="s">
        <v>529</v>
      </c>
      <c r="B341" s="3">
        <v>45771</v>
      </c>
      <c r="C341" t="s">
        <v>299</v>
      </c>
      <c r="D341" t="s">
        <v>35</v>
      </c>
      <c r="E341">
        <v>35</v>
      </c>
      <c r="F341" t="s">
        <v>60</v>
      </c>
      <c r="G341" t="s">
        <v>29</v>
      </c>
      <c r="H341" t="s">
        <v>108</v>
      </c>
      <c r="I341">
        <v>3</v>
      </c>
      <c r="J341">
        <v>399</v>
      </c>
      <c r="K341">
        <v>1197</v>
      </c>
      <c r="L341">
        <v>5</v>
      </c>
      <c r="M341" t="s">
        <v>46</v>
      </c>
      <c r="N341" t="s">
        <v>61</v>
      </c>
      <c r="O341" t="s">
        <v>39</v>
      </c>
      <c r="P341" t="s">
        <v>62</v>
      </c>
    </row>
    <row r="342" spans="1:16" x14ac:dyDescent="0.25">
      <c r="A342" t="s">
        <v>530</v>
      </c>
      <c r="B342" s="3">
        <v>45713</v>
      </c>
      <c r="C342" t="s">
        <v>224</v>
      </c>
      <c r="D342" t="s">
        <v>18</v>
      </c>
      <c r="E342">
        <v>35</v>
      </c>
      <c r="F342" t="s">
        <v>124</v>
      </c>
      <c r="G342" t="s">
        <v>44</v>
      </c>
      <c r="H342" t="s">
        <v>177</v>
      </c>
      <c r="I342">
        <v>4</v>
      </c>
      <c r="J342">
        <v>1299</v>
      </c>
      <c r="K342">
        <v>5196</v>
      </c>
      <c r="L342">
        <v>20</v>
      </c>
      <c r="M342" t="s">
        <v>53</v>
      </c>
      <c r="N342" t="s">
        <v>31</v>
      </c>
      <c r="O342" t="s">
        <v>48</v>
      </c>
      <c r="P342" t="s">
        <v>25</v>
      </c>
    </row>
    <row r="343" spans="1:16" x14ac:dyDescent="0.25">
      <c r="A343" t="s">
        <v>531</v>
      </c>
      <c r="B343" s="3">
        <v>45673</v>
      </c>
      <c r="C343" t="s">
        <v>110</v>
      </c>
      <c r="D343" t="s">
        <v>35</v>
      </c>
      <c r="E343">
        <v>55</v>
      </c>
      <c r="F343" t="s">
        <v>76</v>
      </c>
      <c r="G343" t="s">
        <v>20</v>
      </c>
      <c r="H343" t="s">
        <v>21</v>
      </c>
      <c r="I343">
        <v>5</v>
      </c>
      <c r="J343">
        <v>1999</v>
      </c>
      <c r="K343">
        <v>9995</v>
      </c>
      <c r="L343">
        <v>0</v>
      </c>
      <c r="M343" t="s">
        <v>85</v>
      </c>
      <c r="N343" t="s">
        <v>31</v>
      </c>
      <c r="O343" t="s">
        <v>48</v>
      </c>
      <c r="P343" t="s">
        <v>103</v>
      </c>
    </row>
    <row r="344" spans="1:16" x14ac:dyDescent="0.25">
      <c r="A344" t="s">
        <v>532</v>
      </c>
      <c r="B344" s="3">
        <v>45772</v>
      </c>
      <c r="C344" t="s">
        <v>155</v>
      </c>
      <c r="D344" t="s">
        <v>35</v>
      </c>
      <c r="E344">
        <v>26</v>
      </c>
      <c r="F344" t="s">
        <v>51</v>
      </c>
      <c r="G344" t="s">
        <v>36</v>
      </c>
      <c r="H344" t="s">
        <v>102</v>
      </c>
      <c r="I344">
        <v>3</v>
      </c>
      <c r="J344">
        <v>799</v>
      </c>
      <c r="K344">
        <v>2397</v>
      </c>
      <c r="L344">
        <v>20</v>
      </c>
      <c r="M344" t="s">
        <v>85</v>
      </c>
      <c r="N344" t="s">
        <v>23</v>
      </c>
      <c r="O344" t="s">
        <v>39</v>
      </c>
      <c r="P344" t="s">
        <v>125</v>
      </c>
    </row>
    <row r="345" spans="1:16" x14ac:dyDescent="0.25">
      <c r="A345" t="s">
        <v>533</v>
      </c>
      <c r="B345" s="3">
        <v>46008</v>
      </c>
      <c r="C345" t="s">
        <v>414</v>
      </c>
      <c r="D345" t="s">
        <v>18</v>
      </c>
      <c r="E345">
        <v>46</v>
      </c>
      <c r="F345" t="s">
        <v>124</v>
      </c>
      <c r="G345" t="s">
        <v>68</v>
      </c>
      <c r="H345" t="s">
        <v>73</v>
      </c>
      <c r="I345">
        <v>2</v>
      </c>
      <c r="J345">
        <v>1499</v>
      </c>
      <c r="K345">
        <v>2998</v>
      </c>
      <c r="L345">
        <v>5</v>
      </c>
      <c r="M345" t="s">
        <v>85</v>
      </c>
      <c r="N345" t="s">
        <v>47</v>
      </c>
      <c r="O345" t="s">
        <v>48</v>
      </c>
      <c r="P345" t="s">
        <v>82</v>
      </c>
    </row>
    <row r="346" spans="1:16" x14ac:dyDescent="0.25">
      <c r="A346" t="s">
        <v>534</v>
      </c>
      <c r="B346" s="3">
        <v>45776</v>
      </c>
      <c r="C346" t="s">
        <v>107</v>
      </c>
      <c r="D346" t="s">
        <v>35</v>
      </c>
      <c r="E346">
        <v>41</v>
      </c>
      <c r="F346" t="s">
        <v>76</v>
      </c>
      <c r="G346" t="s">
        <v>44</v>
      </c>
      <c r="H346" t="s">
        <v>45</v>
      </c>
      <c r="I346">
        <v>2</v>
      </c>
      <c r="J346">
        <v>999</v>
      </c>
      <c r="K346">
        <v>1998</v>
      </c>
      <c r="L346">
        <v>0</v>
      </c>
      <c r="M346" t="s">
        <v>53</v>
      </c>
      <c r="N346" t="s">
        <v>31</v>
      </c>
      <c r="O346" t="s">
        <v>39</v>
      </c>
      <c r="P346" t="s">
        <v>82</v>
      </c>
    </row>
    <row r="347" spans="1:16" x14ac:dyDescent="0.25">
      <c r="A347" t="s">
        <v>535</v>
      </c>
      <c r="B347" s="3">
        <v>45823</v>
      </c>
      <c r="C347" t="s">
        <v>75</v>
      </c>
      <c r="D347" t="s">
        <v>35</v>
      </c>
      <c r="E347">
        <v>34</v>
      </c>
      <c r="F347" t="s">
        <v>124</v>
      </c>
      <c r="G347" t="s">
        <v>36</v>
      </c>
      <c r="H347" t="s">
        <v>156</v>
      </c>
      <c r="I347">
        <v>1</v>
      </c>
      <c r="J347">
        <v>1999</v>
      </c>
      <c r="K347">
        <v>1999</v>
      </c>
      <c r="L347">
        <v>15</v>
      </c>
      <c r="M347" t="s">
        <v>22</v>
      </c>
      <c r="N347" t="s">
        <v>31</v>
      </c>
      <c r="O347" t="s">
        <v>48</v>
      </c>
      <c r="P347" t="s">
        <v>25</v>
      </c>
    </row>
    <row r="348" spans="1:16" x14ac:dyDescent="0.25">
      <c r="A348" t="s">
        <v>536</v>
      </c>
      <c r="B348" s="3">
        <v>45922</v>
      </c>
      <c r="C348" t="s">
        <v>129</v>
      </c>
      <c r="D348" t="s">
        <v>35</v>
      </c>
      <c r="E348">
        <v>40</v>
      </c>
      <c r="F348" t="s">
        <v>51</v>
      </c>
      <c r="G348" t="s">
        <v>68</v>
      </c>
      <c r="H348" t="s">
        <v>171</v>
      </c>
      <c r="I348">
        <v>4</v>
      </c>
      <c r="J348">
        <v>399</v>
      </c>
      <c r="K348">
        <v>1596</v>
      </c>
      <c r="L348">
        <v>15</v>
      </c>
      <c r="M348" t="s">
        <v>85</v>
      </c>
      <c r="N348" t="s">
        <v>23</v>
      </c>
      <c r="O348" t="s">
        <v>48</v>
      </c>
      <c r="P348" t="s">
        <v>65</v>
      </c>
    </row>
    <row r="349" spans="1:16" x14ac:dyDescent="0.25">
      <c r="A349" t="s">
        <v>537</v>
      </c>
      <c r="B349" s="3">
        <v>45921</v>
      </c>
      <c r="C349" t="s">
        <v>229</v>
      </c>
      <c r="D349" t="s">
        <v>35</v>
      </c>
      <c r="E349">
        <v>31</v>
      </c>
      <c r="F349" t="s">
        <v>124</v>
      </c>
      <c r="G349" t="s">
        <v>36</v>
      </c>
      <c r="H349" t="s">
        <v>102</v>
      </c>
      <c r="I349">
        <v>2</v>
      </c>
      <c r="J349">
        <v>249</v>
      </c>
      <c r="K349">
        <v>498</v>
      </c>
      <c r="L349">
        <v>5</v>
      </c>
      <c r="M349" t="s">
        <v>53</v>
      </c>
      <c r="N349" t="s">
        <v>31</v>
      </c>
      <c r="O349" t="s">
        <v>48</v>
      </c>
      <c r="P349" t="s">
        <v>203</v>
      </c>
    </row>
    <row r="350" spans="1:16" x14ac:dyDescent="0.25">
      <c r="A350" t="s">
        <v>538</v>
      </c>
      <c r="B350" s="3">
        <v>45716</v>
      </c>
      <c r="C350" t="s">
        <v>182</v>
      </c>
      <c r="D350" t="s">
        <v>35</v>
      </c>
      <c r="E350">
        <v>48</v>
      </c>
      <c r="F350" t="s">
        <v>76</v>
      </c>
      <c r="G350" t="s">
        <v>29</v>
      </c>
      <c r="H350" t="s">
        <v>140</v>
      </c>
      <c r="I350">
        <v>3</v>
      </c>
      <c r="J350">
        <v>2499</v>
      </c>
      <c r="K350">
        <v>7497</v>
      </c>
      <c r="L350">
        <v>20</v>
      </c>
      <c r="M350" t="s">
        <v>53</v>
      </c>
      <c r="N350" t="s">
        <v>61</v>
      </c>
      <c r="O350" t="s">
        <v>24</v>
      </c>
      <c r="P350" t="s">
        <v>89</v>
      </c>
    </row>
    <row r="351" spans="1:16" x14ac:dyDescent="0.25">
      <c r="A351" t="s">
        <v>539</v>
      </c>
      <c r="B351" s="3">
        <v>45740</v>
      </c>
      <c r="C351" t="s">
        <v>17</v>
      </c>
      <c r="D351" t="s">
        <v>18</v>
      </c>
      <c r="E351">
        <v>54</v>
      </c>
      <c r="F351" t="s">
        <v>124</v>
      </c>
      <c r="G351" t="s">
        <v>20</v>
      </c>
      <c r="H351" t="s">
        <v>52</v>
      </c>
      <c r="I351">
        <v>5</v>
      </c>
      <c r="J351">
        <v>1499</v>
      </c>
      <c r="K351">
        <v>7495</v>
      </c>
      <c r="L351">
        <v>0</v>
      </c>
      <c r="M351" t="s">
        <v>53</v>
      </c>
      <c r="N351" t="s">
        <v>31</v>
      </c>
      <c r="O351" t="s">
        <v>24</v>
      </c>
      <c r="P351" t="s">
        <v>78</v>
      </c>
    </row>
    <row r="352" spans="1:16" x14ac:dyDescent="0.25">
      <c r="A352" t="s">
        <v>540</v>
      </c>
      <c r="B352" s="3">
        <v>45667</v>
      </c>
      <c r="C352" t="s">
        <v>147</v>
      </c>
      <c r="D352" t="s">
        <v>35</v>
      </c>
      <c r="E352">
        <v>23</v>
      </c>
      <c r="F352" t="s">
        <v>76</v>
      </c>
      <c r="G352" t="s">
        <v>36</v>
      </c>
      <c r="H352" t="s">
        <v>133</v>
      </c>
      <c r="I352">
        <v>5</v>
      </c>
      <c r="J352">
        <v>1999</v>
      </c>
      <c r="K352">
        <v>9995</v>
      </c>
      <c r="L352">
        <v>15</v>
      </c>
      <c r="M352" t="s">
        <v>85</v>
      </c>
      <c r="N352" t="s">
        <v>61</v>
      </c>
      <c r="O352" t="s">
        <v>39</v>
      </c>
      <c r="P352" t="s">
        <v>32</v>
      </c>
    </row>
    <row r="353" spans="1:16" x14ac:dyDescent="0.25">
      <c r="A353" t="s">
        <v>541</v>
      </c>
      <c r="B353" s="3">
        <v>45956</v>
      </c>
      <c r="C353" t="s">
        <v>155</v>
      </c>
      <c r="D353" t="s">
        <v>18</v>
      </c>
      <c r="E353">
        <v>57</v>
      </c>
      <c r="F353" t="s">
        <v>43</v>
      </c>
      <c r="G353" t="s">
        <v>29</v>
      </c>
      <c r="H353" t="s">
        <v>140</v>
      </c>
      <c r="I353">
        <v>5</v>
      </c>
      <c r="J353">
        <v>299</v>
      </c>
      <c r="K353">
        <v>1495</v>
      </c>
      <c r="L353">
        <v>5</v>
      </c>
      <c r="M353" t="s">
        <v>46</v>
      </c>
      <c r="N353" t="s">
        <v>61</v>
      </c>
      <c r="O353" t="s">
        <v>48</v>
      </c>
      <c r="P353" t="s">
        <v>193</v>
      </c>
    </row>
    <row r="354" spans="1:16" x14ac:dyDescent="0.25">
      <c r="A354" t="s">
        <v>542</v>
      </c>
      <c r="B354" s="3">
        <v>45725</v>
      </c>
      <c r="C354" t="s">
        <v>75</v>
      </c>
      <c r="D354" t="s">
        <v>18</v>
      </c>
      <c r="E354">
        <v>30</v>
      </c>
      <c r="F354" t="s">
        <v>28</v>
      </c>
      <c r="G354" t="s">
        <v>20</v>
      </c>
      <c r="H354" t="s">
        <v>52</v>
      </c>
      <c r="I354">
        <v>4</v>
      </c>
      <c r="J354">
        <v>799</v>
      </c>
      <c r="K354">
        <v>3196</v>
      </c>
      <c r="L354">
        <v>5</v>
      </c>
      <c r="M354" t="s">
        <v>85</v>
      </c>
      <c r="N354" t="s">
        <v>23</v>
      </c>
      <c r="O354" t="s">
        <v>24</v>
      </c>
      <c r="P354" t="s">
        <v>82</v>
      </c>
    </row>
    <row r="355" spans="1:16" x14ac:dyDescent="0.25">
      <c r="A355" t="s">
        <v>543</v>
      </c>
      <c r="B355" s="3">
        <v>45915</v>
      </c>
      <c r="C355" t="s">
        <v>72</v>
      </c>
      <c r="D355" t="s">
        <v>18</v>
      </c>
      <c r="E355">
        <v>23</v>
      </c>
      <c r="F355" t="s">
        <v>51</v>
      </c>
      <c r="G355" t="s">
        <v>68</v>
      </c>
      <c r="H355" t="s">
        <v>94</v>
      </c>
      <c r="I355">
        <v>1</v>
      </c>
      <c r="J355">
        <v>1299</v>
      </c>
      <c r="K355">
        <v>1299</v>
      </c>
      <c r="L355">
        <v>5</v>
      </c>
      <c r="M355" t="s">
        <v>85</v>
      </c>
      <c r="N355" t="s">
        <v>23</v>
      </c>
      <c r="O355" t="s">
        <v>48</v>
      </c>
      <c r="P355" t="s">
        <v>134</v>
      </c>
    </row>
    <row r="356" spans="1:16" x14ac:dyDescent="0.25">
      <c r="A356" t="s">
        <v>544</v>
      </c>
      <c r="B356" s="3">
        <v>46015</v>
      </c>
      <c r="C356" t="s">
        <v>286</v>
      </c>
      <c r="D356" t="s">
        <v>35</v>
      </c>
      <c r="E356">
        <v>32</v>
      </c>
      <c r="F356" t="s">
        <v>51</v>
      </c>
      <c r="G356" t="s">
        <v>68</v>
      </c>
      <c r="H356" t="s">
        <v>69</v>
      </c>
      <c r="I356">
        <v>3</v>
      </c>
      <c r="J356">
        <v>199</v>
      </c>
      <c r="K356">
        <v>597</v>
      </c>
      <c r="L356">
        <v>15</v>
      </c>
      <c r="M356" t="s">
        <v>46</v>
      </c>
      <c r="N356" t="s">
        <v>23</v>
      </c>
      <c r="O356" t="s">
        <v>39</v>
      </c>
      <c r="P356" t="s">
        <v>65</v>
      </c>
    </row>
    <row r="357" spans="1:16" x14ac:dyDescent="0.25">
      <c r="A357" t="s">
        <v>545</v>
      </c>
      <c r="B357" s="3">
        <v>45803</v>
      </c>
      <c r="C357" t="s">
        <v>270</v>
      </c>
      <c r="D357" t="s">
        <v>35</v>
      </c>
      <c r="E357">
        <v>34</v>
      </c>
      <c r="F357" t="s">
        <v>76</v>
      </c>
      <c r="G357" t="s">
        <v>44</v>
      </c>
      <c r="H357" t="s">
        <v>99</v>
      </c>
      <c r="I357">
        <v>2</v>
      </c>
      <c r="J357">
        <v>249</v>
      </c>
      <c r="K357">
        <v>498</v>
      </c>
      <c r="L357">
        <v>0</v>
      </c>
      <c r="M357" t="s">
        <v>38</v>
      </c>
      <c r="N357" t="s">
        <v>23</v>
      </c>
      <c r="O357" t="s">
        <v>48</v>
      </c>
      <c r="P357" t="s">
        <v>121</v>
      </c>
    </row>
    <row r="358" spans="1:16" x14ac:dyDescent="0.25">
      <c r="A358" t="s">
        <v>546</v>
      </c>
      <c r="B358" s="3">
        <v>45843</v>
      </c>
      <c r="C358" t="s">
        <v>75</v>
      </c>
      <c r="D358" t="s">
        <v>18</v>
      </c>
      <c r="E358">
        <v>45</v>
      </c>
      <c r="F358" t="s">
        <v>43</v>
      </c>
      <c r="G358" t="s">
        <v>36</v>
      </c>
      <c r="H358" t="s">
        <v>102</v>
      </c>
      <c r="I358">
        <v>3</v>
      </c>
      <c r="J358">
        <v>799</v>
      </c>
      <c r="K358">
        <v>2397</v>
      </c>
      <c r="L358">
        <v>10</v>
      </c>
      <c r="M358" t="s">
        <v>85</v>
      </c>
      <c r="N358" t="s">
        <v>61</v>
      </c>
      <c r="O358" t="s">
        <v>48</v>
      </c>
      <c r="P358" t="s">
        <v>125</v>
      </c>
    </row>
    <row r="359" spans="1:16" x14ac:dyDescent="0.25">
      <c r="A359" t="s">
        <v>547</v>
      </c>
      <c r="B359" s="3">
        <v>45869</v>
      </c>
      <c r="C359" t="s">
        <v>97</v>
      </c>
      <c r="D359" t="s">
        <v>35</v>
      </c>
      <c r="E359">
        <v>29</v>
      </c>
      <c r="F359" t="s">
        <v>60</v>
      </c>
      <c r="G359" t="s">
        <v>68</v>
      </c>
      <c r="H359" t="s">
        <v>171</v>
      </c>
      <c r="I359">
        <v>4</v>
      </c>
      <c r="J359">
        <v>399</v>
      </c>
      <c r="K359">
        <v>1596</v>
      </c>
      <c r="L359">
        <v>20</v>
      </c>
      <c r="M359" t="s">
        <v>85</v>
      </c>
      <c r="N359" t="s">
        <v>61</v>
      </c>
      <c r="O359" t="s">
        <v>39</v>
      </c>
      <c r="P359" t="s">
        <v>86</v>
      </c>
    </row>
    <row r="360" spans="1:16" x14ac:dyDescent="0.25">
      <c r="A360" t="s">
        <v>548</v>
      </c>
      <c r="B360" s="3">
        <v>45728</v>
      </c>
      <c r="C360" t="s">
        <v>188</v>
      </c>
      <c r="D360" t="s">
        <v>18</v>
      </c>
      <c r="E360">
        <v>32</v>
      </c>
      <c r="F360" t="s">
        <v>51</v>
      </c>
      <c r="G360" t="s">
        <v>68</v>
      </c>
      <c r="H360" t="s">
        <v>171</v>
      </c>
      <c r="I360">
        <v>4</v>
      </c>
      <c r="J360">
        <v>2499</v>
      </c>
      <c r="K360">
        <v>9996</v>
      </c>
      <c r="L360">
        <v>5</v>
      </c>
      <c r="M360" t="s">
        <v>38</v>
      </c>
      <c r="N360" t="s">
        <v>47</v>
      </c>
      <c r="O360" t="s">
        <v>48</v>
      </c>
      <c r="P360" t="s">
        <v>157</v>
      </c>
    </row>
    <row r="361" spans="1:16" x14ac:dyDescent="0.25">
      <c r="A361" t="s">
        <v>549</v>
      </c>
      <c r="B361" s="3">
        <v>46008</v>
      </c>
      <c r="C361" t="s">
        <v>257</v>
      </c>
      <c r="D361" t="s">
        <v>18</v>
      </c>
      <c r="E361">
        <v>28</v>
      </c>
      <c r="F361" t="s">
        <v>28</v>
      </c>
      <c r="G361" t="s">
        <v>44</v>
      </c>
      <c r="H361" t="s">
        <v>151</v>
      </c>
      <c r="I361">
        <v>5</v>
      </c>
      <c r="J361">
        <v>2499</v>
      </c>
      <c r="K361">
        <v>12495</v>
      </c>
      <c r="L361">
        <v>0</v>
      </c>
      <c r="M361" t="s">
        <v>38</v>
      </c>
      <c r="N361" t="s">
        <v>47</v>
      </c>
      <c r="O361" t="s">
        <v>39</v>
      </c>
      <c r="P361" t="s">
        <v>40</v>
      </c>
    </row>
    <row r="362" spans="1:16" x14ac:dyDescent="0.25">
      <c r="A362" t="s">
        <v>550</v>
      </c>
      <c r="B362" s="3">
        <v>45771</v>
      </c>
      <c r="C362" t="s">
        <v>123</v>
      </c>
      <c r="D362" t="s">
        <v>18</v>
      </c>
      <c r="E362">
        <v>56</v>
      </c>
      <c r="F362" t="s">
        <v>98</v>
      </c>
      <c r="G362" t="s">
        <v>36</v>
      </c>
      <c r="H362" t="s">
        <v>156</v>
      </c>
      <c r="I362">
        <v>1</v>
      </c>
      <c r="J362">
        <v>499</v>
      </c>
      <c r="K362">
        <v>499</v>
      </c>
      <c r="L362">
        <v>15</v>
      </c>
      <c r="M362" t="s">
        <v>22</v>
      </c>
      <c r="N362" t="s">
        <v>31</v>
      </c>
      <c r="O362" t="s">
        <v>48</v>
      </c>
      <c r="P362" t="s">
        <v>40</v>
      </c>
    </row>
    <row r="363" spans="1:16" x14ac:dyDescent="0.25">
      <c r="A363" t="s">
        <v>551</v>
      </c>
      <c r="B363" s="3">
        <v>45663</v>
      </c>
      <c r="C363" t="s">
        <v>280</v>
      </c>
      <c r="D363" t="s">
        <v>35</v>
      </c>
      <c r="E363">
        <v>30</v>
      </c>
      <c r="F363" t="s">
        <v>98</v>
      </c>
      <c r="G363" t="s">
        <v>20</v>
      </c>
      <c r="H363" t="s">
        <v>52</v>
      </c>
      <c r="I363">
        <v>4</v>
      </c>
      <c r="J363">
        <v>999</v>
      </c>
      <c r="K363">
        <v>3996</v>
      </c>
      <c r="L363">
        <v>20</v>
      </c>
      <c r="M363" t="s">
        <v>85</v>
      </c>
      <c r="N363" t="s">
        <v>47</v>
      </c>
      <c r="O363" t="s">
        <v>48</v>
      </c>
      <c r="P363" t="s">
        <v>32</v>
      </c>
    </row>
    <row r="364" spans="1:16" x14ac:dyDescent="0.25">
      <c r="A364" t="s">
        <v>552</v>
      </c>
      <c r="B364" s="3">
        <v>45658</v>
      </c>
      <c r="C364" t="s">
        <v>218</v>
      </c>
      <c r="D364" t="s">
        <v>18</v>
      </c>
      <c r="E364">
        <v>35</v>
      </c>
      <c r="F364" t="s">
        <v>28</v>
      </c>
      <c r="G364" t="s">
        <v>20</v>
      </c>
      <c r="H364" t="s">
        <v>77</v>
      </c>
      <c r="I364">
        <v>2</v>
      </c>
      <c r="J364">
        <v>1999</v>
      </c>
      <c r="K364">
        <v>3998</v>
      </c>
      <c r="L364">
        <v>10</v>
      </c>
      <c r="M364" t="s">
        <v>22</v>
      </c>
      <c r="N364" t="s">
        <v>61</v>
      </c>
      <c r="O364" t="s">
        <v>48</v>
      </c>
      <c r="P364" t="s">
        <v>54</v>
      </c>
    </row>
    <row r="365" spans="1:16" x14ac:dyDescent="0.25">
      <c r="A365" t="s">
        <v>553</v>
      </c>
      <c r="B365" s="3">
        <v>45939</v>
      </c>
      <c r="C365" t="s">
        <v>116</v>
      </c>
      <c r="D365" t="s">
        <v>35</v>
      </c>
      <c r="E365">
        <v>40</v>
      </c>
      <c r="F365" t="s">
        <v>43</v>
      </c>
      <c r="G365" t="s">
        <v>68</v>
      </c>
      <c r="H365" t="s">
        <v>73</v>
      </c>
      <c r="I365">
        <v>1</v>
      </c>
      <c r="J365">
        <v>249</v>
      </c>
      <c r="K365">
        <v>249</v>
      </c>
      <c r="L365">
        <v>5</v>
      </c>
      <c r="M365" t="s">
        <v>85</v>
      </c>
      <c r="N365" t="s">
        <v>47</v>
      </c>
      <c r="O365" t="s">
        <v>39</v>
      </c>
      <c r="P365" t="s">
        <v>157</v>
      </c>
    </row>
    <row r="366" spans="1:16" x14ac:dyDescent="0.25">
      <c r="A366" t="s">
        <v>554</v>
      </c>
      <c r="B366" s="3">
        <v>45866</v>
      </c>
      <c r="C366" t="s">
        <v>370</v>
      </c>
      <c r="D366" t="s">
        <v>18</v>
      </c>
      <c r="E366">
        <v>53</v>
      </c>
      <c r="F366" t="s">
        <v>19</v>
      </c>
      <c r="G366" t="s">
        <v>68</v>
      </c>
      <c r="H366" t="s">
        <v>73</v>
      </c>
      <c r="I366">
        <v>3</v>
      </c>
      <c r="J366">
        <v>299</v>
      </c>
      <c r="K366">
        <v>897</v>
      </c>
      <c r="L366">
        <v>20</v>
      </c>
      <c r="M366" t="s">
        <v>46</v>
      </c>
      <c r="N366" t="s">
        <v>31</v>
      </c>
      <c r="O366" t="s">
        <v>24</v>
      </c>
      <c r="P366" t="s">
        <v>78</v>
      </c>
    </row>
    <row r="367" spans="1:16" x14ac:dyDescent="0.25">
      <c r="A367" t="s">
        <v>555</v>
      </c>
      <c r="B367" s="3">
        <v>46013</v>
      </c>
      <c r="C367" t="s">
        <v>329</v>
      </c>
      <c r="D367" t="s">
        <v>35</v>
      </c>
      <c r="E367">
        <v>54</v>
      </c>
      <c r="F367" t="s">
        <v>51</v>
      </c>
      <c r="G367" t="s">
        <v>44</v>
      </c>
      <c r="H367" t="s">
        <v>151</v>
      </c>
      <c r="I367">
        <v>5</v>
      </c>
      <c r="J367">
        <v>499</v>
      </c>
      <c r="K367">
        <v>2495</v>
      </c>
      <c r="L367">
        <v>5</v>
      </c>
      <c r="M367" t="s">
        <v>46</v>
      </c>
      <c r="N367" t="s">
        <v>61</v>
      </c>
      <c r="O367" t="s">
        <v>48</v>
      </c>
      <c r="P367" t="s">
        <v>62</v>
      </c>
    </row>
    <row r="368" spans="1:16" x14ac:dyDescent="0.25">
      <c r="A368" t="s">
        <v>556</v>
      </c>
      <c r="B368" s="3">
        <v>45790</v>
      </c>
      <c r="C368" t="s">
        <v>107</v>
      </c>
      <c r="D368" t="s">
        <v>35</v>
      </c>
      <c r="E368">
        <v>58</v>
      </c>
      <c r="F368" t="s">
        <v>76</v>
      </c>
      <c r="G368" t="s">
        <v>68</v>
      </c>
      <c r="H368" t="s">
        <v>73</v>
      </c>
      <c r="I368">
        <v>4</v>
      </c>
      <c r="J368">
        <v>249</v>
      </c>
      <c r="K368">
        <v>996</v>
      </c>
      <c r="L368">
        <v>5</v>
      </c>
      <c r="M368" t="s">
        <v>46</v>
      </c>
      <c r="N368" t="s">
        <v>61</v>
      </c>
      <c r="O368" t="s">
        <v>39</v>
      </c>
      <c r="P368" t="s">
        <v>78</v>
      </c>
    </row>
    <row r="369" spans="1:16" x14ac:dyDescent="0.25">
      <c r="A369" t="s">
        <v>557</v>
      </c>
      <c r="B369" s="3">
        <v>45805</v>
      </c>
      <c r="C369" t="s">
        <v>313</v>
      </c>
      <c r="D369" t="s">
        <v>35</v>
      </c>
      <c r="E369">
        <v>39</v>
      </c>
      <c r="F369" t="s">
        <v>19</v>
      </c>
      <c r="G369" t="s">
        <v>68</v>
      </c>
      <c r="H369" t="s">
        <v>73</v>
      </c>
      <c r="I369">
        <v>3</v>
      </c>
      <c r="J369">
        <v>399</v>
      </c>
      <c r="K369">
        <v>1197</v>
      </c>
      <c r="L369">
        <v>20</v>
      </c>
      <c r="M369" t="s">
        <v>53</v>
      </c>
      <c r="N369" t="s">
        <v>61</v>
      </c>
      <c r="O369" t="s">
        <v>39</v>
      </c>
      <c r="P369" t="s">
        <v>125</v>
      </c>
    </row>
    <row r="370" spans="1:16" x14ac:dyDescent="0.25">
      <c r="A370" t="s">
        <v>558</v>
      </c>
      <c r="B370" s="3">
        <v>46007</v>
      </c>
      <c r="C370" t="s">
        <v>266</v>
      </c>
      <c r="D370" t="s">
        <v>35</v>
      </c>
      <c r="E370">
        <v>30</v>
      </c>
      <c r="F370" t="s">
        <v>76</v>
      </c>
      <c r="G370" t="s">
        <v>29</v>
      </c>
      <c r="H370" t="s">
        <v>200</v>
      </c>
      <c r="I370">
        <v>3</v>
      </c>
      <c r="J370">
        <v>299</v>
      </c>
      <c r="K370">
        <v>897</v>
      </c>
      <c r="L370">
        <v>5</v>
      </c>
      <c r="M370" t="s">
        <v>46</v>
      </c>
      <c r="N370" t="s">
        <v>47</v>
      </c>
      <c r="O370" t="s">
        <v>24</v>
      </c>
      <c r="P370" t="s">
        <v>54</v>
      </c>
    </row>
    <row r="371" spans="1:16" x14ac:dyDescent="0.25">
      <c r="A371" t="s">
        <v>559</v>
      </c>
      <c r="B371" s="3">
        <v>45712</v>
      </c>
      <c r="C371" t="s">
        <v>88</v>
      </c>
      <c r="D371" t="s">
        <v>18</v>
      </c>
      <c r="E371">
        <v>60</v>
      </c>
      <c r="F371" t="s">
        <v>51</v>
      </c>
      <c r="G371" t="s">
        <v>29</v>
      </c>
      <c r="H371" t="s">
        <v>200</v>
      </c>
      <c r="I371">
        <v>3</v>
      </c>
      <c r="J371">
        <v>299</v>
      </c>
      <c r="K371">
        <v>897</v>
      </c>
      <c r="L371">
        <v>20</v>
      </c>
      <c r="M371" t="s">
        <v>38</v>
      </c>
      <c r="N371" t="s">
        <v>23</v>
      </c>
      <c r="O371" t="s">
        <v>39</v>
      </c>
      <c r="P371" t="s">
        <v>125</v>
      </c>
    </row>
    <row r="372" spans="1:16" x14ac:dyDescent="0.25">
      <c r="A372" t="s">
        <v>560</v>
      </c>
      <c r="B372" s="3">
        <v>45798</v>
      </c>
      <c r="C372" t="s">
        <v>159</v>
      </c>
      <c r="D372" t="s">
        <v>18</v>
      </c>
      <c r="E372">
        <v>50</v>
      </c>
      <c r="F372" t="s">
        <v>43</v>
      </c>
      <c r="G372" t="s">
        <v>68</v>
      </c>
      <c r="H372" t="s">
        <v>171</v>
      </c>
      <c r="I372">
        <v>4</v>
      </c>
      <c r="J372">
        <v>1499</v>
      </c>
      <c r="K372">
        <v>5996</v>
      </c>
      <c r="L372">
        <v>15</v>
      </c>
      <c r="M372" t="s">
        <v>53</v>
      </c>
      <c r="N372" t="s">
        <v>47</v>
      </c>
      <c r="O372" t="s">
        <v>24</v>
      </c>
      <c r="P372" t="s">
        <v>78</v>
      </c>
    </row>
    <row r="373" spans="1:16" x14ac:dyDescent="0.25">
      <c r="A373" t="s">
        <v>561</v>
      </c>
      <c r="B373" s="3">
        <v>45915</v>
      </c>
      <c r="C373" t="s">
        <v>350</v>
      </c>
      <c r="D373" t="s">
        <v>35</v>
      </c>
      <c r="E373">
        <v>29</v>
      </c>
      <c r="F373" t="s">
        <v>51</v>
      </c>
      <c r="G373" t="s">
        <v>36</v>
      </c>
      <c r="H373" t="s">
        <v>355</v>
      </c>
      <c r="I373">
        <v>5</v>
      </c>
      <c r="J373">
        <v>199</v>
      </c>
      <c r="K373">
        <v>995</v>
      </c>
      <c r="L373">
        <v>0</v>
      </c>
      <c r="M373" t="s">
        <v>85</v>
      </c>
      <c r="N373" t="s">
        <v>61</v>
      </c>
      <c r="O373" t="s">
        <v>39</v>
      </c>
      <c r="P373" t="s">
        <v>121</v>
      </c>
    </row>
    <row r="374" spans="1:16" x14ac:dyDescent="0.25">
      <c r="A374" t="s">
        <v>562</v>
      </c>
      <c r="B374" s="3">
        <v>45709</v>
      </c>
      <c r="C374" t="s">
        <v>139</v>
      </c>
      <c r="D374" t="s">
        <v>35</v>
      </c>
      <c r="E374">
        <v>57</v>
      </c>
      <c r="F374" t="s">
        <v>43</v>
      </c>
      <c r="G374" t="s">
        <v>20</v>
      </c>
      <c r="H374" t="s">
        <v>52</v>
      </c>
      <c r="I374">
        <v>4</v>
      </c>
      <c r="J374">
        <v>1499</v>
      </c>
      <c r="K374">
        <v>5996</v>
      </c>
      <c r="L374">
        <v>5</v>
      </c>
      <c r="M374" t="s">
        <v>85</v>
      </c>
      <c r="N374" t="s">
        <v>31</v>
      </c>
      <c r="O374" t="s">
        <v>24</v>
      </c>
      <c r="P374" t="s">
        <v>70</v>
      </c>
    </row>
    <row r="375" spans="1:16" x14ac:dyDescent="0.25">
      <c r="A375" t="s">
        <v>563</v>
      </c>
      <c r="B375" s="3">
        <v>45752</v>
      </c>
      <c r="C375" t="s">
        <v>288</v>
      </c>
      <c r="D375" t="s">
        <v>35</v>
      </c>
      <c r="E375">
        <v>31</v>
      </c>
      <c r="F375" t="s">
        <v>28</v>
      </c>
      <c r="G375" t="s">
        <v>36</v>
      </c>
      <c r="H375" t="s">
        <v>133</v>
      </c>
      <c r="I375">
        <v>3</v>
      </c>
      <c r="J375">
        <v>599</v>
      </c>
      <c r="K375">
        <v>1797</v>
      </c>
      <c r="L375">
        <v>10</v>
      </c>
      <c r="M375" t="s">
        <v>46</v>
      </c>
      <c r="N375" t="s">
        <v>61</v>
      </c>
      <c r="O375" t="s">
        <v>39</v>
      </c>
      <c r="P375" t="s">
        <v>62</v>
      </c>
    </row>
    <row r="376" spans="1:16" x14ac:dyDescent="0.25">
      <c r="A376" t="s">
        <v>564</v>
      </c>
      <c r="B376" s="3">
        <v>46009</v>
      </c>
      <c r="C376" t="s">
        <v>255</v>
      </c>
      <c r="D376" t="s">
        <v>18</v>
      </c>
      <c r="E376">
        <v>35</v>
      </c>
      <c r="F376" t="s">
        <v>76</v>
      </c>
      <c r="G376" t="s">
        <v>29</v>
      </c>
      <c r="H376" t="s">
        <v>200</v>
      </c>
      <c r="I376">
        <v>2</v>
      </c>
      <c r="J376">
        <v>1499</v>
      </c>
      <c r="K376">
        <v>2998</v>
      </c>
      <c r="L376">
        <v>20</v>
      </c>
      <c r="M376" t="s">
        <v>22</v>
      </c>
      <c r="N376" t="s">
        <v>61</v>
      </c>
      <c r="O376" t="s">
        <v>24</v>
      </c>
      <c r="P376" t="s">
        <v>65</v>
      </c>
    </row>
    <row r="377" spans="1:16" x14ac:dyDescent="0.25">
      <c r="A377" t="s">
        <v>565</v>
      </c>
      <c r="B377" s="3">
        <v>45873</v>
      </c>
      <c r="C377" t="s">
        <v>288</v>
      </c>
      <c r="D377" t="s">
        <v>18</v>
      </c>
      <c r="E377">
        <v>58</v>
      </c>
      <c r="F377" t="s">
        <v>60</v>
      </c>
      <c r="G377" t="s">
        <v>29</v>
      </c>
      <c r="H377" t="s">
        <v>140</v>
      </c>
      <c r="I377">
        <v>1</v>
      </c>
      <c r="J377">
        <v>299</v>
      </c>
      <c r="K377">
        <v>299</v>
      </c>
      <c r="L377">
        <v>15</v>
      </c>
      <c r="M377" t="s">
        <v>46</v>
      </c>
      <c r="N377" t="s">
        <v>31</v>
      </c>
      <c r="O377" t="s">
        <v>48</v>
      </c>
      <c r="P377" t="s">
        <v>193</v>
      </c>
    </row>
    <row r="378" spans="1:16" x14ac:dyDescent="0.25">
      <c r="A378" t="s">
        <v>566</v>
      </c>
      <c r="B378" s="3">
        <v>45741</v>
      </c>
      <c r="C378" t="s">
        <v>105</v>
      </c>
      <c r="D378" t="s">
        <v>18</v>
      </c>
      <c r="E378">
        <v>34</v>
      </c>
      <c r="F378" t="s">
        <v>51</v>
      </c>
      <c r="G378" t="s">
        <v>20</v>
      </c>
      <c r="H378" t="s">
        <v>120</v>
      </c>
      <c r="I378">
        <v>1</v>
      </c>
      <c r="J378">
        <v>2499</v>
      </c>
      <c r="K378">
        <v>2499</v>
      </c>
      <c r="L378">
        <v>0</v>
      </c>
      <c r="M378" t="s">
        <v>22</v>
      </c>
      <c r="N378" t="s">
        <v>31</v>
      </c>
      <c r="O378" t="s">
        <v>39</v>
      </c>
      <c r="P378" t="s">
        <v>125</v>
      </c>
    </row>
    <row r="379" spans="1:16" x14ac:dyDescent="0.25">
      <c r="A379" t="s">
        <v>567</v>
      </c>
      <c r="B379" s="3">
        <v>45834</v>
      </c>
      <c r="C379" t="s">
        <v>366</v>
      </c>
      <c r="D379" t="s">
        <v>35</v>
      </c>
      <c r="E379">
        <v>25</v>
      </c>
      <c r="F379" t="s">
        <v>60</v>
      </c>
      <c r="G379" t="s">
        <v>44</v>
      </c>
      <c r="H379" t="s">
        <v>151</v>
      </c>
      <c r="I379">
        <v>5</v>
      </c>
      <c r="J379">
        <v>499</v>
      </c>
      <c r="K379">
        <v>2495</v>
      </c>
      <c r="L379">
        <v>20</v>
      </c>
      <c r="M379" t="s">
        <v>53</v>
      </c>
      <c r="N379" t="s">
        <v>47</v>
      </c>
      <c r="O379" t="s">
        <v>39</v>
      </c>
      <c r="P379" t="s">
        <v>125</v>
      </c>
    </row>
    <row r="380" spans="1:16" x14ac:dyDescent="0.25">
      <c r="A380" t="s">
        <v>568</v>
      </c>
      <c r="B380" s="3">
        <v>45886</v>
      </c>
      <c r="C380" t="s">
        <v>272</v>
      </c>
      <c r="D380" t="s">
        <v>35</v>
      </c>
      <c r="E380">
        <v>57</v>
      </c>
      <c r="F380" t="s">
        <v>43</v>
      </c>
      <c r="G380" t="s">
        <v>44</v>
      </c>
      <c r="H380" t="s">
        <v>151</v>
      </c>
      <c r="I380">
        <v>4</v>
      </c>
      <c r="J380">
        <v>2499</v>
      </c>
      <c r="K380">
        <v>9996</v>
      </c>
      <c r="L380">
        <v>15</v>
      </c>
      <c r="M380" t="s">
        <v>53</v>
      </c>
      <c r="N380" t="s">
        <v>47</v>
      </c>
      <c r="O380" t="s">
        <v>48</v>
      </c>
      <c r="P380" t="s">
        <v>57</v>
      </c>
    </row>
    <row r="381" spans="1:16" x14ac:dyDescent="0.25">
      <c r="A381" t="s">
        <v>569</v>
      </c>
      <c r="B381" s="3">
        <v>45694</v>
      </c>
      <c r="C381" t="s">
        <v>272</v>
      </c>
      <c r="D381" t="s">
        <v>18</v>
      </c>
      <c r="E381">
        <v>39</v>
      </c>
      <c r="F381" t="s">
        <v>76</v>
      </c>
      <c r="G381" t="s">
        <v>36</v>
      </c>
      <c r="H381" t="s">
        <v>133</v>
      </c>
      <c r="I381">
        <v>5</v>
      </c>
      <c r="J381">
        <v>799</v>
      </c>
      <c r="K381">
        <v>3995</v>
      </c>
      <c r="L381">
        <v>10</v>
      </c>
      <c r="M381" t="s">
        <v>46</v>
      </c>
      <c r="N381" t="s">
        <v>31</v>
      </c>
      <c r="O381" t="s">
        <v>48</v>
      </c>
      <c r="P381" t="s">
        <v>70</v>
      </c>
    </row>
    <row r="382" spans="1:16" x14ac:dyDescent="0.25">
      <c r="A382" t="s">
        <v>570</v>
      </c>
      <c r="B382" s="3">
        <v>45843</v>
      </c>
      <c r="C382" t="s">
        <v>190</v>
      </c>
      <c r="D382" t="s">
        <v>35</v>
      </c>
      <c r="E382">
        <v>44</v>
      </c>
      <c r="F382" t="s">
        <v>124</v>
      </c>
      <c r="G382" t="s">
        <v>68</v>
      </c>
      <c r="H382" t="s">
        <v>69</v>
      </c>
      <c r="I382">
        <v>3</v>
      </c>
      <c r="J382">
        <v>999</v>
      </c>
      <c r="K382">
        <v>2997</v>
      </c>
      <c r="L382">
        <v>5</v>
      </c>
      <c r="M382" t="s">
        <v>38</v>
      </c>
      <c r="N382" t="s">
        <v>47</v>
      </c>
      <c r="O382" t="s">
        <v>48</v>
      </c>
      <c r="P382" t="s">
        <v>89</v>
      </c>
    </row>
    <row r="383" spans="1:16" x14ac:dyDescent="0.25">
      <c r="A383" t="s">
        <v>571</v>
      </c>
      <c r="B383" s="3">
        <v>45861</v>
      </c>
      <c r="C383" t="s">
        <v>75</v>
      </c>
      <c r="D383" t="s">
        <v>18</v>
      </c>
      <c r="E383">
        <v>22</v>
      </c>
      <c r="F383" t="s">
        <v>51</v>
      </c>
      <c r="G383" t="s">
        <v>44</v>
      </c>
      <c r="H383" t="s">
        <v>45</v>
      </c>
      <c r="I383">
        <v>2</v>
      </c>
      <c r="J383">
        <v>299</v>
      </c>
      <c r="K383">
        <v>598</v>
      </c>
      <c r="L383">
        <v>20</v>
      </c>
      <c r="M383" t="s">
        <v>38</v>
      </c>
      <c r="N383" t="s">
        <v>23</v>
      </c>
      <c r="O383" t="s">
        <v>39</v>
      </c>
      <c r="P383" t="s">
        <v>78</v>
      </c>
    </row>
    <row r="384" spans="1:16" x14ac:dyDescent="0.25">
      <c r="A384" t="s">
        <v>572</v>
      </c>
      <c r="B384" s="3">
        <v>45737</v>
      </c>
      <c r="C384" t="s">
        <v>272</v>
      </c>
      <c r="D384" t="s">
        <v>35</v>
      </c>
      <c r="E384">
        <v>37</v>
      </c>
      <c r="F384" t="s">
        <v>76</v>
      </c>
      <c r="G384" t="s">
        <v>20</v>
      </c>
      <c r="H384" t="s">
        <v>21</v>
      </c>
      <c r="I384">
        <v>3</v>
      </c>
      <c r="J384">
        <v>1499</v>
      </c>
      <c r="K384">
        <v>4497</v>
      </c>
      <c r="L384">
        <v>5</v>
      </c>
      <c r="M384" t="s">
        <v>46</v>
      </c>
      <c r="N384" t="s">
        <v>61</v>
      </c>
      <c r="O384" t="s">
        <v>48</v>
      </c>
      <c r="P384" t="s">
        <v>65</v>
      </c>
    </row>
    <row r="385" spans="1:16" x14ac:dyDescent="0.25">
      <c r="A385" t="s">
        <v>573</v>
      </c>
      <c r="B385" s="3">
        <v>45675</v>
      </c>
      <c r="C385" t="s">
        <v>188</v>
      </c>
      <c r="D385" t="s">
        <v>35</v>
      </c>
      <c r="E385">
        <v>38</v>
      </c>
      <c r="F385" t="s">
        <v>51</v>
      </c>
      <c r="G385" t="s">
        <v>29</v>
      </c>
      <c r="H385" t="s">
        <v>200</v>
      </c>
      <c r="I385">
        <v>2</v>
      </c>
      <c r="J385">
        <v>199</v>
      </c>
      <c r="K385">
        <v>398</v>
      </c>
      <c r="L385">
        <v>15</v>
      </c>
      <c r="M385" t="s">
        <v>85</v>
      </c>
      <c r="N385" t="s">
        <v>31</v>
      </c>
      <c r="O385" t="s">
        <v>48</v>
      </c>
      <c r="P385" t="s">
        <v>62</v>
      </c>
    </row>
    <row r="386" spans="1:16" x14ac:dyDescent="0.25">
      <c r="A386" t="s">
        <v>574</v>
      </c>
      <c r="B386" s="3">
        <v>45963</v>
      </c>
      <c r="C386" t="s">
        <v>112</v>
      </c>
      <c r="D386" t="s">
        <v>35</v>
      </c>
      <c r="E386">
        <v>51</v>
      </c>
      <c r="F386" t="s">
        <v>43</v>
      </c>
      <c r="G386" t="s">
        <v>29</v>
      </c>
      <c r="H386" t="s">
        <v>200</v>
      </c>
      <c r="I386">
        <v>2</v>
      </c>
      <c r="J386">
        <v>1499</v>
      </c>
      <c r="K386">
        <v>2998</v>
      </c>
      <c r="L386">
        <v>10</v>
      </c>
      <c r="M386" t="s">
        <v>22</v>
      </c>
      <c r="N386" t="s">
        <v>47</v>
      </c>
      <c r="O386" t="s">
        <v>24</v>
      </c>
      <c r="P386" t="s">
        <v>62</v>
      </c>
    </row>
    <row r="387" spans="1:16" x14ac:dyDescent="0.25">
      <c r="A387" t="s">
        <v>575</v>
      </c>
      <c r="B387" s="3">
        <v>45737</v>
      </c>
      <c r="C387" t="s">
        <v>360</v>
      </c>
      <c r="D387" t="s">
        <v>18</v>
      </c>
      <c r="E387">
        <v>18</v>
      </c>
      <c r="F387" t="s">
        <v>124</v>
      </c>
      <c r="G387" t="s">
        <v>44</v>
      </c>
      <c r="H387" t="s">
        <v>177</v>
      </c>
      <c r="I387">
        <v>4</v>
      </c>
      <c r="J387">
        <v>499</v>
      </c>
      <c r="K387">
        <v>1996</v>
      </c>
      <c r="L387">
        <v>10</v>
      </c>
      <c r="M387" t="s">
        <v>46</v>
      </c>
      <c r="N387" t="s">
        <v>61</v>
      </c>
      <c r="O387" t="s">
        <v>48</v>
      </c>
      <c r="P387" t="s">
        <v>121</v>
      </c>
    </row>
    <row r="388" spans="1:16" x14ac:dyDescent="0.25">
      <c r="A388" t="s">
        <v>576</v>
      </c>
      <c r="B388" s="3">
        <v>45878</v>
      </c>
      <c r="C388" t="s">
        <v>180</v>
      </c>
      <c r="D388" t="s">
        <v>18</v>
      </c>
      <c r="E388">
        <v>18</v>
      </c>
      <c r="F388" t="s">
        <v>60</v>
      </c>
      <c r="G388" t="s">
        <v>36</v>
      </c>
      <c r="H388" t="s">
        <v>355</v>
      </c>
      <c r="I388">
        <v>3</v>
      </c>
      <c r="J388">
        <v>199</v>
      </c>
      <c r="K388">
        <v>597</v>
      </c>
      <c r="L388">
        <v>5</v>
      </c>
      <c r="M388" t="s">
        <v>22</v>
      </c>
      <c r="N388" t="s">
        <v>61</v>
      </c>
      <c r="O388" t="s">
        <v>39</v>
      </c>
      <c r="P388" t="s">
        <v>89</v>
      </c>
    </row>
    <row r="389" spans="1:16" x14ac:dyDescent="0.25">
      <c r="A389" t="s">
        <v>577</v>
      </c>
      <c r="B389" s="3">
        <v>45792</v>
      </c>
      <c r="C389" t="s">
        <v>272</v>
      </c>
      <c r="D389" t="s">
        <v>35</v>
      </c>
      <c r="E389">
        <v>58</v>
      </c>
      <c r="F389" t="s">
        <v>76</v>
      </c>
      <c r="G389" t="s">
        <v>29</v>
      </c>
      <c r="H389" t="s">
        <v>140</v>
      </c>
      <c r="I389">
        <v>4</v>
      </c>
      <c r="J389">
        <v>399</v>
      </c>
      <c r="K389">
        <v>1596</v>
      </c>
      <c r="L389">
        <v>20</v>
      </c>
      <c r="M389" t="s">
        <v>85</v>
      </c>
      <c r="N389" t="s">
        <v>31</v>
      </c>
      <c r="O389" t="s">
        <v>39</v>
      </c>
      <c r="P389" t="s">
        <v>103</v>
      </c>
    </row>
    <row r="390" spans="1:16" x14ac:dyDescent="0.25">
      <c r="A390" t="s">
        <v>578</v>
      </c>
      <c r="B390" s="3">
        <v>45751</v>
      </c>
      <c r="C390" t="s">
        <v>17</v>
      </c>
      <c r="D390" t="s">
        <v>35</v>
      </c>
      <c r="E390">
        <v>25</v>
      </c>
      <c r="F390" t="s">
        <v>51</v>
      </c>
      <c r="G390" t="s">
        <v>44</v>
      </c>
      <c r="H390" t="s">
        <v>99</v>
      </c>
      <c r="I390">
        <v>2</v>
      </c>
      <c r="J390">
        <v>249</v>
      </c>
      <c r="K390">
        <v>498</v>
      </c>
      <c r="L390">
        <v>20</v>
      </c>
      <c r="M390" t="s">
        <v>22</v>
      </c>
      <c r="N390" t="s">
        <v>31</v>
      </c>
      <c r="O390" t="s">
        <v>48</v>
      </c>
      <c r="P390" t="s">
        <v>40</v>
      </c>
    </row>
    <row r="391" spans="1:16" x14ac:dyDescent="0.25">
      <c r="A391" t="s">
        <v>579</v>
      </c>
      <c r="B391" s="3">
        <v>45735</v>
      </c>
      <c r="C391" t="s">
        <v>250</v>
      </c>
      <c r="D391" t="s">
        <v>18</v>
      </c>
      <c r="E391">
        <v>29</v>
      </c>
      <c r="F391" t="s">
        <v>19</v>
      </c>
      <c r="G391" t="s">
        <v>36</v>
      </c>
      <c r="H391" t="s">
        <v>102</v>
      </c>
      <c r="I391">
        <v>3</v>
      </c>
      <c r="J391">
        <v>199</v>
      </c>
      <c r="K391">
        <v>597</v>
      </c>
      <c r="L391">
        <v>10</v>
      </c>
      <c r="M391" t="s">
        <v>46</v>
      </c>
      <c r="N391" t="s">
        <v>47</v>
      </c>
      <c r="O391" t="s">
        <v>48</v>
      </c>
      <c r="P391" t="s">
        <v>62</v>
      </c>
    </row>
    <row r="392" spans="1:16" x14ac:dyDescent="0.25">
      <c r="A392" t="s">
        <v>580</v>
      </c>
      <c r="B392" s="3">
        <v>45665</v>
      </c>
      <c r="C392" t="s">
        <v>288</v>
      </c>
      <c r="D392" t="s">
        <v>18</v>
      </c>
      <c r="E392">
        <v>39</v>
      </c>
      <c r="F392" t="s">
        <v>28</v>
      </c>
      <c r="G392" t="s">
        <v>20</v>
      </c>
      <c r="H392" t="s">
        <v>52</v>
      </c>
      <c r="I392">
        <v>1</v>
      </c>
      <c r="J392">
        <v>299</v>
      </c>
      <c r="K392">
        <v>299</v>
      </c>
      <c r="L392">
        <v>10</v>
      </c>
      <c r="M392" t="s">
        <v>22</v>
      </c>
      <c r="N392" t="s">
        <v>31</v>
      </c>
      <c r="O392" t="s">
        <v>39</v>
      </c>
      <c r="P392" t="s">
        <v>117</v>
      </c>
    </row>
    <row r="393" spans="1:16" x14ac:dyDescent="0.25">
      <c r="A393" t="s">
        <v>581</v>
      </c>
      <c r="B393" s="3">
        <v>45794</v>
      </c>
      <c r="C393" t="s">
        <v>209</v>
      </c>
      <c r="D393" t="s">
        <v>35</v>
      </c>
      <c r="E393">
        <v>22</v>
      </c>
      <c r="F393" t="s">
        <v>51</v>
      </c>
      <c r="G393" t="s">
        <v>44</v>
      </c>
      <c r="H393" t="s">
        <v>45</v>
      </c>
      <c r="I393">
        <v>2</v>
      </c>
      <c r="J393">
        <v>199</v>
      </c>
      <c r="K393">
        <v>398</v>
      </c>
      <c r="L393">
        <v>5</v>
      </c>
      <c r="M393" t="s">
        <v>53</v>
      </c>
      <c r="N393" t="s">
        <v>31</v>
      </c>
      <c r="O393" t="s">
        <v>39</v>
      </c>
      <c r="P393" t="s">
        <v>121</v>
      </c>
    </row>
    <row r="394" spans="1:16" x14ac:dyDescent="0.25">
      <c r="A394" t="s">
        <v>582</v>
      </c>
      <c r="B394" s="3">
        <v>45784</v>
      </c>
      <c r="C394" t="s">
        <v>274</v>
      </c>
      <c r="D394" t="s">
        <v>18</v>
      </c>
      <c r="E394">
        <v>30</v>
      </c>
      <c r="F394" t="s">
        <v>51</v>
      </c>
      <c r="G394" t="s">
        <v>20</v>
      </c>
      <c r="H394" t="s">
        <v>52</v>
      </c>
      <c r="I394">
        <v>4</v>
      </c>
      <c r="J394">
        <v>999</v>
      </c>
      <c r="K394">
        <v>3996</v>
      </c>
      <c r="L394">
        <v>0</v>
      </c>
      <c r="M394" t="s">
        <v>85</v>
      </c>
      <c r="N394" t="s">
        <v>47</v>
      </c>
      <c r="O394" t="s">
        <v>39</v>
      </c>
      <c r="P394" t="s">
        <v>157</v>
      </c>
    </row>
    <row r="395" spans="1:16" x14ac:dyDescent="0.25">
      <c r="A395" t="s">
        <v>583</v>
      </c>
      <c r="B395" s="3">
        <v>45679</v>
      </c>
      <c r="C395" t="s">
        <v>190</v>
      </c>
      <c r="D395" t="s">
        <v>18</v>
      </c>
      <c r="E395">
        <v>34</v>
      </c>
      <c r="F395" t="s">
        <v>51</v>
      </c>
      <c r="G395" t="s">
        <v>44</v>
      </c>
      <c r="H395" t="s">
        <v>177</v>
      </c>
      <c r="I395">
        <v>2</v>
      </c>
      <c r="J395">
        <v>1999</v>
      </c>
      <c r="K395">
        <v>3998</v>
      </c>
      <c r="L395">
        <v>10</v>
      </c>
      <c r="M395" t="s">
        <v>53</v>
      </c>
      <c r="N395" t="s">
        <v>31</v>
      </c>
      <c r="O395" t="s">
        <v>24</v>
      </c>
      <c r="P395" t="s">
        <v>54</v>
      </c>
    </row>
    <row r="396" spans="1:16" x14ac:dyDescent="0.25">
      <c r="A396" t="s">
        <v>584</v>
      </c>
      <c r="B396" s="3">
        <v>45665</v>
      </c>
      <c r="C396" t="s">
        <v>414</v>
      </c>
      <c r="D396" t="s">
        <v>35</v>
      </c>
      <c r="E396">
        <v>55</v>
      </c>
      <c r="F396" t="s">
        <v>19</v>
      </c>
      <c r="G396" t="s">
        <v>20</v>
      </c>
      <c r="H396" t="s">
        <v>52</v>
      </c>
      <c r="I396">
        <v>4</v>
      </c>
      <c r="J396">
        <v>599</v>
      </c>
      <c r="K396">
        <v>2396</v>
      </c>
      <c r="L396">
        <v>15</v>
      </c>
      <c r="M396" t="s">
        <v>53</v>
      </c>
      <c r="N396" t="s">
        <v>23</v>
      </c>
      <c r="O396" t="s">
        <v>24</v>
      </c>
      <c r="P396" t="s">
        <v>193</v>
      </c>
    </row>
    <row r="397" spans="1:16" x14ac:dyDescent="0.25">
      <c r="A397" t="s">
        <v>585</v>
      </c>
      <c r="B397" s="3">
        <v>45703</v>
      </c>
      <c r="C397" t="s">
        <v>259</v>
      </c>
      <c r="D397" t="s">
        <v>18</v>
      </c>
      <c r="E397">
        <v>49</v>
      </c>
      <c r="F397" t="s">
        <v>19</v>
      </c>
      <c r="G397" t="s">
        <v>36</v>
      </c>
      <c r="H397" t="s">
        <v>133</v>
      </c>
      <c r="I397">
        <v>2</v>
      </c>
      <c r="J397">
        <v>599</v>
      </c>
      <c r="K397">
        <v>1198</v>
      </c>
      <c r="L397">
        <v>20</v>
      </c>
      <c r="M397" t="s">
        <v>46</v>
      </c>
      <c r="N397" t="s">
        <v>23</v>
      </c>
      <c r="O397" t="s">
        <v>24</v>
      </c>
      <c r="P397" t="s">
        <v>125</v>
      </c>
    </row>
    <row r="398" spans="1:16" x14ac:dyDescent="0.25">
      <c r="A398" t="s">
        <v>586</v>
      </c>
      <c r="B398" s="3">
        <v>45907</v>
      </c>
      <c r="C398" t="s">
        <v>255</v>
      </c>
      <c r="D398" t="s">
        <v>35</v>
      </c>
      <c r="E398">
        <v>53</v>
      </c>
      <c r="F398" t="s">
        <v>60</v>
      </c>
      <c r="G398" t="s">
        <v>29</v>
      </c>
      <c r="H398" t="s">
        <v>200</v>
      </c>
      <c r="I398">
        <v>1</v>
      </c>
      <c r="J398">
        <v>299</v>
      </c>
      <c r="K398">
        <v>299</v>
      </c>
      <c r="L398">
        <v>15</v>
      </c>
      <c r="M398" t="s">
        <v>53</v>
      </c>
      <c r="N398" t="s">
        <v>23</v>
      </c>
      <c r="O398" t="s">
        <v>48</v>
      </c>
      <c r="P398" t="s">
        <v>157</v>
      </c>
    </row>
    <row r="399" spans="1:16" x14ac:dyDescent="0.25">
      <c r="A399" t="s">
        <v>587</v>
      </c>
      <c r="B399" s="3">
        <v>45906</v>
      </c>
      <c r="C399" t="s">
        <v>257</v>
      </c>
      <c r="D399" t="s">
        <v>35</v>
      </c>
      <c r="E399">
        <v>53</v>
      </c>
      <c r="F399" t="s">
        <v>43</v>
      </c>
      <c r="G399" t="s">
        <v>44</v>
      </c>
      <c r="H399" t="s">
        <v>235</v>
      </c>
      <c r="I399">
        <v>3</v>
      </c>
      <c r="J399">
        <v>199</v>
      </c>
      <c r="K399">
        <v>597</v>
      </c>
      <c r="L399">
        <v>20</v>
      </c>
      <c r="M399" t="s">
        <v>22</v>
      </c>
      <c r="N399" t="s">
        <v>47</v>
      </c>
      <c r="O399" t="s">
        <v>48</v>
      </c>
      <c r="P399" t="s">
        <v>32</v>
      </c>
    </row>
    <row r="400" spans="1:16" x14ac:dyDescent="0.25">
      <c r="A400" t="s">
        <v>588</v>
      </c>
      <c r="B400" s="3">
        <v>45897</v>
      </c>
      <c r="C400" t="s">
        <v>150</v>
      </c>
      <c r="D400" t="s">
        <v>18</v>
      </c>
      <c r="E400">
        <v>22</v>
      </c>
      <c r="F400" t="s">
        <v>124</v>
      </c>
      <c r="G400" t="s">
        <v>68</v>
      </c>
      <c r="H400" t="s">
        <v>171</v>
      </c>
      <c r="I400">
        <v>3</v>
      </c>
      <c r="J400">
        <v>2499</v>
      </c>
      <c r="K400">
        <v>7497</v>
      </c>
      <c r="L400">
        <v>15</v>
      </c>
      <c r="M400" t="s">
        <v>46</v>
      </c>
      <c r="N400" t="s">
        <v>31</v>
      </c>
      <c r="O400" t="s">
        <v>48</v>
      </c>
      <c r="P400" t="s">
        <v>125</v>
      </c>
    </row>
    <row r="401" spans="1:16" x14ac:dyDescent="0.25">
      <c r="A401" t="s">
        <v>589</v>
      </c>
      <c r="B401" s="3">
        <v>45752</v>
      </c>
      <c r="C401" t="s">
        <v>366</v>
      </c>
      <c r="D401" t="s">
        <v>35</v>
      </c>
      <c r="E401">
        <v>57</v>
      </c>
      <c r="F401" t="s">
        <v>76</v>
      </c>
      <c r="G401" t="s">
        <v>36</v>
      </c>
      <c r="H401" t="s">
        <v>156</v>
      </c>
      <c r="I401">
        <v>5</v>
      </c>
      <c r="J401">
        <v>799</v>
      </c>
      <c r="K401">
        <v>3995</v>
      </c>
      <c r="L401">
        <v>10</v>
      </c>
      <c r="M401" t="s">
        <v>38</v>
      </c>
      <c r="N401" t="s">
        <v>61</v>
      </c>
      <c r="O401" t="s">
        <v>24</v>
      </c>
      <c r="P401" t="s">
        <v>78</v>
      </c>
    </row>
    <row r="402" spans="1:16" x14ac:dyDescent="0.25">
      <c r="A402" t="s">
        <v>590</v>
      </c>
      <c r="B402" s="3">
        <v>45802</v>
      </c>
      <c r="C402" t="s">
        <v>139</v>
      </c>
      <c r="D402" t="s">
        <v>35</v>
      </c>
      <c r="E402">
        <v>59</v>
      </c>
      <c r="F402" t="s">
        <v>60</v>
      </c>
      <c r="G402" t="s">
        <v>36</v>
      </c>
      <c r="H402" t="s">
        <v>133</v>
      </c>
      <c r="I402">
        <v>2</v>
      </c>
      <c r="J402">
        <v>1499</v>
      </c>
      <c r="K402">
        <v>2998</v>
      </c>
      <c r="L402">
        <v>0</v>
      </c>
      <c r="M402" t="s">
        <v>38</v>
      </c>
      <c r="N402" t="s">
        <v>23</v>
      </c>
      <c r="O402" t="s">
        <v>24</v>
      </c>
      <c r="P402" t="s">
        <v>65</v>
      </c>
    </row>
    <row r="403" spans="1:16" x14ac:dyDescent="0.25">
      <c r="A403" t="s">
        <v>591</v>
      </c>
      <c r="B403" s="3">
        <v>45906</v>
      </c>
      <c r="C403" t="s">
        <v>266</v>
      </c>
      <c r="D403" t="s">
        <v>18</v>
      </c>
      <c r="E403">
        <v>20</v>
      </c>
      <c r="F403" t="s">
        <v>28</v>
      </c>
      <c r="G403" t="s">
        <v>29</v>
      </c>
      <c r="H403" t="s">
        <v>108</v>
      </c>
      <c r="I403">
        <v>2</v>
      </c>
      <c r="J403">
        <v>-499</v>
      </c>
      <c r="K403">
        <v>498</v>
      </c>
      <c r="L403">
        <v>15</v>
      </c>
      <c r="M403" t="s">
        <v>85</v>
      </c>
      <c r="N403" t="s">
        <v>31</v>
      </c>
      <c r="O403" t="s">
        <v>24</v>
      </c>
      <c r="P403" t="s">
        <v>125</v>
      </c>
    </row>
    <row r="404" spans="1:16" x14ac:dyDescent="0.25">
      <c r="A404" t="s">
        <v>592</v>
      </c>
      <c r="B404" s="3">
        <v>45764</v>
      </c>
      <c r="C404" t="s">
        <v>164</v>
      </c>
      <c r="D404" t="s">
        <v>35</v>
      </c>
      <c r="E404">
        <v>23</v>
      </c>
      <c r="F404" t="s">
        <v>51</v>
      </c>
      <c r="G404" t="s">
        <v>29</v>
      </c>
      <c r="H404" t="s">
        <v>200</v>
      </c>
      <c r="I404">
        <v>1</v>
      </c>
      <c r="J404">
        <v>199</v>
      </c>
      <c r="K404">
        <v>199</v>
      </c>
      <c r="L404">
        <v>0</v>
      </c>
      <c r="M404" t="s">
        <v>46</v>
      </c>
      <c r="N404" t="s">
        <v>61</v>
      </c>
      <c r="O404" t="s">
        <v>39</v>
      </c>
      <c r="P404" t="s">
        <v>117</v>
      </c>
    </row>
    <row r="405" spans="1:16" x14ac:dyDescent="0.25">
      <c r="A405" t="s">
        <v>593</v>
      </c>
      <c r="B405" s="3">
        <v>45694</v>
      </c>
      <c r="C405" t="s">
        <v>360</v>
      </c>
      <c r="D405" t="s">
        <v>18</v>
      </c>
      <c r="E405">
        <v>31</v>
      </c>
      <c r="F405" t="s">
        <v>19</v>
      </c>
      <c r="G405" t="s">
        <v>68</v>
      </c>
      <c r="H405" t="s">
        <v>171</v>
      </c>
      <c r="I405">
        <v>5</v>
      </c>
      <c r="J405">
        <v>199</v>
      </c>
      <c r="K405">
        <v>995</v>
      </c>
      <c r="L405">
        <v>0</v>
      </c>
      <c r="M405" t="s">
        <v>53</v>
      </c>
      <c r="N405" t="s">
        <v>61</v>
      </c>
      <c r="O405" t="s">
        <v>24</v>
      </c>
      <c r="P405" t="s">
        <v>54</v>
      </c>
    </row>
    <row r="406" spans="1:16" x14ac:dyDescent="0.25">
      <c r="A406" t="s">
        <v>594</v>
      </c>
      <c r="B406" s="3">
        <v>45749</v>
      </c>
      <c r="C406" t="s">
        <v>27</v>
      </c>
      <c r="D406" t="s">
        <v>35</v>
      </c>
      <c r="E406">
        <v>24</v>
      </c>
      <c r="F406" t="s">
        <v>60</v>
      </c>
      <c r="G406" t="s">
        <v>68</v>
      </c>
      <c r="H406" t="s">
        <v>137</v>
      </c>
      <c r="I406">
        <v>5</v>
      </c>
      <c r="J406">
        <v>1999</v>
      </c>
      <c r="K406">
        <v>9995</v>
      </c>
      <c r="L406">
        <v>15</v>
      </c>
      <c r="M406" t="s">
        <v>22</v>
      </c>
      <c r="N406" t="s">
        <v>23</v>
      </c>
      <c r="O406" t="s">
        <v>24</v>
      </c>
      <c r="P406" t="s">
        <v>32</v>
      </c>
    </row>
    <row r="407" spans="1:16" x14ac:dyDescent="0.25">
      <c r="A407" t="s">
        <v>595</v>
      </c>
      <c r="B407" s="3">
        <v>45994</v>
      </c>
      <c r="C407" t="s">
        <v>218</v>
      </c>
      <c r="D407" t="s">
        <v>35</v>
      </c>
      <c r="E407">
        <v>40</v>
      </c>
      <c r="F407" t="s">
        <v>60</v>
      </c>
      <c r="G407" t="s">
        <v>68</v>
      </c>
      <c r="H407" t="s">
        <v>69</v>
      </c>
      <c r="I407">
        <v>5</v>
      </c>
      <c r="J407">
        <v>599</v>
      </c>
      <c r="K407">
        <v>2995</v>
      </c>
      <c r="L407">
        <v>20</v>
      </c>
      <c r="M407" t="s">
        <v>46</v>
      </c>
      <c r="N407" t="s">
        <v>31</v>
      </c>
      <c r="O407" t="s">
        <v>39</v>
      </c>
      <c r="P407" t="s">
        <v>134</v>
      </c>
    </row>
    <row r="408" spans="1:16" x14ac:dyDescent="0.25">
      <c r="A408" t="s">
        <v>596</v>
      </c>
      <c r="B408" s="3">
        <v>45937</v>
      </c>
      <c r="C408" t="s">
        <v>253</v>
      </c>
      <c r="D408" t="s">
        <v>35</v>
      </c>
      <c r="E408">
        <v>53</v>
      </c>
      <c r="F408" t="s">
        <v>43</v>
      </c>
      <c r="G408" t="s">
        <v>44</v>
      </c>
      <c r="H408" t="s">
        <v>151</v>
      </c>
      <c r="I408">
        <v>2</v>
      </c>
      <c r="J408">
        <v>1499</v>
      </c>
      <c r="K408">
        <v>2998</v>
      </c>
      <c r="L408">
        <v>10</v>
      </c>
      <c r="M408" t="s">
        <v>22</v>
      </c>
      <c r="N408" t="s">
        <v>61</v>
      </c>
      <c r="O408" t="s">
        <v>39</v>
      </c>
      <c r="P408" t="s">
        <v>121</v>
      </c>
    </row>
    <row r="409" spans="1:16" x14ac:dyDescent="0.25">
      <c r="A409" t="s">
        <v>597</v>
      </c>
      <c r="B409" s="3">
        <v>45923</v>
      </c>
      <c r="C409" t="s">
        <v>17</v>
      </c>
      <c r="D409" t="s">
        <v>35</v>
      </c>
      <c r="E409">
        <v>18</v>
      </c>
      <c r="F409" t="s">
        <v>43</v>
      </c>
      <c r="G409" t="s">
        <v>20</v>
      </c>
      <c r="H409" t="s">
        <v>77</v>
      </c>
      <c r="I409">
        <v>5</v>
      </c>
      <c r="J409">
        <v>199</v>
      </c>
      <c r="K409">
        <v>995</v>
      </c>
      <c r="L409">
        <v>5</v>
      </c>
      <c r="M409" t="s">
        <v>53</v>
      </c>
      <c r="N409" t="s">
        <v>31</v>
      </c>
      <c r="O409" t="s">
        <v>24</v>
      </c>
      <c r="P409" t="s">
        <v>70</v>
      </c>
    </row>
    <row r="410" spans="1:16" x14ac:dyDescent="0.25">
      <c r="A410" t="s">
        <v>598</v>
      </c>
      <c r="B410" s="3">
        <v>45950</v>
      </c>
      <c r="C410" t="s">
        <v>67</v>
      </c>
      <c r="D410" t="s">
        <v>18</v>
      </c>
      <c r="E410">
        <v>20</v>
      </c>
      <c r="F410" t="s">
        <v>51</v>
      </c>
      <c r="G410" t="s">
        <v>68</v>
      </c>
      <c r="H410" t="s">
        <v>94</v>
      </c>
      <c r="I410">
        <v>5</v>
      </c>
      <c r="J410">
        <v>1499</v>
      </c>
      <c r="K410">
        <v>7495</v>
      </c>
      <c r="L410">
        <v>10</v>
      </c>
      <c r="M410" t="s">
        <v>53</v>
      </c>
      <c r="N410" t="s">
        <v>47</v>
      </c>
      <c r="O410" t="s">
        <v>39</v>
      </c>
      <c r="P410" t="s">
        <v>125</v>
      </c>
    </row>
    <row r="411" spans="1:16" x14ac:dyDescent="0.25">
      <c r="A411" t="s">
        <v>599</v>
      </c>
      <c r="B411" s="3">
        <v>45811</v>
      </c>
      <c r="C411" t="s">
        <v>313</v>
      </c>
      <c r="D411" t="s">
        <v>35</v>
      </c>
      <c r="E411">
        <v>54</v>
      </c>
      <c r="F411" t="s">
        <v>76</v>
      </c>
      <c r="G411" t="s">
        <v>68</v>
      </c>
      <c r="H411" t="s">
        <v>137</v>
      </c>
      <c r="I411">
        <v>2</v>
      </c>
      <c r="J411">
        <v>499</v>
      </c>
      <c r="K411">
        <v>998</v>
      </c>
      <c r="L411">
        <v>0</v>
      </c>
      <c r="M411" t="s">
        <v>46</v>
      </c>
      <c r="N411" t="s">
        <v>61</v>
      </c>
      <c r="O411" t="s">
        <v>24</v>
      </c>
      <c r="P411" t="s">
        <v>82</v>
      </c>
    </row>
    <row r="412" spans="1:16" x14ac:dyDescent="0.25">
      <c r="A412" t="s">
        <v>600</v>
      </c>
      <c r="B412" s="3">
        <v>45811</v>
      </c>
      <c r="C412" t="s">
        <v>91</v>
      </c>
      <c r="D412" t="s">
        <v>35</v>
      </c>
      <c r="E412">
        <v>23</v>
      </c>
      <c r="F412" t="s">
        <v>98</v>
      </c>
      <c r="G412" t="s">
        <v>68</v>
      </c>
      <c r="H412" t="s">
        <v>73</v>
      </c>
      <c r="I412">
        <v>5</v>
      </c>
      <c r="J412">
        <v>1999</v>
      </c>
      <c r="K412">
        <v>9995</v>
      </c>
      <c r="L412">
        <v>10</v>
      </c>
      <c r="M412" t="s">
        <v>46</v>
      </c>
      <c r="N412" t="s">
        <v>61</v>
      </c>
      <c r="O412" t="s">
        <v>39</v>
      </c>
      <c r="P412" t="s">
        <v>203</v>
      </c>
    </row>
    <row r="413" spans="1:16" x14ac:dyDescent="0.25">
      <c r="A413" t="s">
        <v>601</v>
      </c>
      <c r="B413" s="3">
        <v>45981</v>
      </c>
      <c r="C413" t="s">
        <v>42</v>
      </c>
      <c r="D413" t="s">
        <v>18</v>
      </c>
      <c r="E413">
        <v>37</v>
      </c>
      <c r="F413" t="s">
        <v>98</v>
      </c>
      <c r="G413" t="s">
        <v>29</v>
      </c>
      <c r="H413" t="s">
        <v>200</v>
      </c>
      <c r="I413">
        <v>1</v>
      </c>
      <c r="J413">
        <v>1999</v>
      </c>
      <c r="K413">
        <v>1999</v>
      </c>
      <c r="L413">
        <v>10</v>
      </c>
      <c r="M413" t="s">
        <v>85</v>
      </c>
      <c r="N413" t="s">
        <v>47</v>
      </c>
      <c r="O413" t="s">
        <v>39</v>
      </c>
      <c r="P413" t="s">
        <v>78</v>
      </c>
    </row>
    <row r="414" spans="1:16" x14ac:dyDescent="0.25">
      <c r="A414" t="s">
        <v>602</v>
      </c>
      <c r="B414" s="3">
        <v>45859</v>
      </c>
      <c r="C414" t="s">
        <v>186</v>
      </c>
      <c r="D414" t="s">
        <v>18</v>
      </c>
      <c r="E414">
        <v>32</v>
      </c>
      <c r="F414" t="s">
        <v>28</v>
      </c>
      <c r="G414" t="s">
        <v>29</v>
      </c>
      <c r="H414" t="s">
        <v>30</v>
      </c>
      <c r="I414">
        <v>1</v>
      </c>
      <c r="J414">
        <v>1999</v>
      </c>
      <c r="K414">
        <v>1999</v>
      </c>
      <c r="L414">
        <v>10</v>
      </c>
      <c r="M414" t="s">
        <v>22</v>
      </c>
      <c r="N414" t="s">
        <v>47</v>
      </c>
      <c r="O414" t="s">
        <v>24</v>
      </c>
      <c r="P414" t="s">
        <v>57</v>
      </c>
    </row>
    <row r="415" spans="1:16" x14ac:dyDescent="0.25">
      <c r="A415" t="s">
        <v>603</v>
      </c>
      <c r="B415" s="3">
        <v>45683</v>
      </c>
      <c r="C415" t="s">
        <v>97</v>
      </c>
      <c r="D415" t="s">
        <v>35</v>
      </c>
      <c r="E415">
        <v>34</v>
      </c>
      <c r="F415" t="s">
        <v>19</v>
      </c>
      <c r="G415" t="s">
        <v>20</v>
      </c>
      <c r="H415" t="s">
        <v>120</v>
      </c>
      <c r="I415">
        <v>5</v>
      </c>
      <c r="J415">
        <v>2499</v>
      </c>
      <c r="K415">
        <v>12495</v>
      </c>
      <c r="L415">
        <v>15</v>
      </c>
      <c r="M415" t="s">
        <v>85</v>
      </c>
      <c r="N415" t="s">
        <v>61</v>
      </c>
      <c r="O415" t="s">
        <v>48</v>
      </c>
      <c r="P415" t="s">
        <v>65</v>
      </c>
    </row>
    <row r="416" spans="1:16" x14ac:dyDescent="0.25">
      <c r="A416" t="s">
        <v>604</v>
      </c>
      <c r="B416" s="3">
        <v>45907</v>
      </c>
      <c r="C416" t="s">
        <v>388</v>
      </c>
      <c r="D416" t="s">
        <v>18</v>
      </c>
      <c r="E416">
        <v>53</v>
      </c>
      <c r="F416" t="s">
        <v>76</v>
      </c>
      <c r="G416" t="s">
        <v>29</v>
      </c>
      <c r="H416" t="s">
        <v>140</v>
      </c>
      <c r="I416">
        <v>5</v>
      </c>
      <c r="J416">
        <v>399</v>
      </c>
      <c r="K416">
        <v>1995</v>
      </c>
      <c r="L416">
        <v>5</v>
      </c>
      <c r="M416" t="s">
        <v>38</v>
      </c>
      <c r="N416" t="s">
        <v>31</v>
      </c>
      <c r="O416" t="s">
        <v>39</v>
      </c>
      <c r="P416" t="s">
        <v>57</v>
      </c>
    </row>
    <row r="417" spans="1:16" x14ac:dyDescent="0.25">
      <c r="A417" t="s">
        <v>605</v>
      </c>
      <c r="B417" s="3">
        <v>45869</v>
      </c>
      <c r="C417" t="s">
        <v>606</v>
      </c>
      <c r="D417" t="s">
        <v>35</v>
      </c>
      <c r="E417">
        <v>40</v>
      </c>
      <c r="F417" t="s">
        <v>76</v>
      </c>
      <c r="G417" t="s">
        <v>68</v>
      </c>
      <c r="H417" t="s">
        <v>73</v>
      </c>
      <c r="I417">
        <v>1</v>
      </c>
      <c r="J417">
        <v>1999</v>
      </c>
      <c r="K417">
        <v>1999</v>
      </c>
      <c r="L417">
        <v>10</v>
      </c>
      <c r="M417" t="s">
        <v>46</v>
      </c>
      <c r="N417" t="s">
        <v>23</v>
      </c>
      <c r="O417" t="s">
        <v>39</v>
      </c>
      <c r="P417" t="s">
        <v>32</v>
      </c>
    </row>
    <row r="418" spans="1:16" x14ac:dyDescent="0.25">
      <c r="A418" t="s">
        <v>607</v>
      </c>
      <c r="B418" s="3">
        <v>45732</v>
      </c>
      <c r="C418" t="s">
        <v>329</v>
      </c>
      <c r="D418" t="s">
        <v>18</v>
      </c>
      <c r="E418">
        <v>32</v>
      </c>
      <c r="F418" t="s">
        <v>76</v>
      </c>
      <c r="G418" t="s">
        <v>44</v>
      </c>
      <c r="H418" t="s">
        <v>151</v>
      </c>
      <c r="I418">
        <v>4</v>
      </c>
      <c r="J418">
        <v>1499</v>
      </c>
      <c r="K418">
        <v>5996</v>
      </c>
      <c r="L418">
        <v>10</v>
      </c>
      <c r="M418" t="s">
        <v>53</v>
      </c>
      <c r="N418" t="s">
        <v>23</v>
      </c>
      <c r="O418" t="s">
        <v>24</v>
      </c>
      <c r="P418" t="s">
        <v>117</v>
      </c>
    </row>
    <row r="419" spans="1:16" x14ac:dyDescent="0.25">
      <c r="A419" t="s">
        <v>608</v>
      </c>
      <c r="B419" s="3">
        <v>45665</v>
      </c>
      <c r="C419" t="s">
        <v>213</v>
      </c>
      <c r="D419" t="s">
        <v>18</v>
      </c>
      <c r="E419">
        <v>37</v>
      </c>
      <c r="F419" t="s">
        <v>51</v>
      </c>
      <c r="G419" t="s">
        <v>29</v>
      </c>
      <c r="H419" t="s">
        <v>200</v>
      </c>
      <c r="I419">
        <v>2</v>
      </c>
      <c r="J419">
        <v>499</v>
      </c>
      <c r="K419">
        <v>998</v>
      </c>
      <c r="L419">
        <v>15</v>
      </c>
      <c r="M419" t="s">
        <v>38</v>
      </c>
      <c r="N419" t="s">
        <v>31</v>
      </c>
      <c r="O419" t="s">
        <v>24</v>
      </c>
      <c r="P419" t="s">
        <v>103</v>
      </c>
    </row>
    <row r="420" spans="1:16" x14ac:dyDescent="0.25">
      <c r="A420" t="s">
        <v>609</v>
      </c>
      <c r="B420" s="3">
        <v>45790</v>
      </c>
      <c r="C420" t="s">
        <v>97</v>
      </c>
      <c r="D420" t="s">
        <v>35</v>
      </c>
      <c r="E420">
        <v>57</v>
      </c>
      <c r="F420" t="s">
        <v>124</v>
      </c>
      <c r="G420" t="s">
        <v>29</v>
      </c>
      <c r="H420" t="s">
        <v>30</v>
      </c>
      <c r="I420">
        <v>5</v>
      </c>
      <c r="J420">
        <v>1299</v>
      </c>
      <c r="K420">
        <v>6495</v>
      </c>
      <c r="L420">
        <v>0</v>
      </c>
      <c r="M420" t="s">
        <v>22</v>
      </c>
      <c r="N420" t="s">
        <v>23</v>
      </c>
      <c r="O420" t="s">
        <v>39</v>
      </c>
      <c r="P420" t="s">
        <v>32</v>
      </c>
    </row>
    <row r="421" spans="1:16" x14ac:dyDescent="0.25">
      <c r="A421" t="s">
        <v>610</v>
      </c>
      <c r="B421" s="3">
        <v>45974</v>
      </c>
      <c r="C421" t="s">
        <v>59</v>
      </c>
      <c r="D421" t="s">
        <v>18</v>
      </c>
      <c r="E421">
        <v>47</v>
      </c>
      <c r="F421" t="s">
        <v>98</v>
      </c>
      <c r="G421" t="s">
        <v>20</v>
      </c>
      <c r="H421" t="s">
        <v>77</v>
      </c>
      <c r="I421">
        <v>2</v>
      </c>
      <c r="J421">
        <v>2499</v>
      </c>
      <c r="K421">
        <v>4998</v>
      </c>
      <c r="L421">
        <v>0</v>
      </c>
      <c r="M421" t="s">
        <v>22</v>
      </c>
      <c r="N421" t="s">
        <v>31</v>
      </c>
      <c r="O421" t="s">
        <v>48</v>
      </c>
      <c r="P421" t="s">
        <v>125</v>
      </c>
    </row>
    <row r="422" spans="1:16" x14ac:dyDescent="0.25">
      <c r="A422" t="s">
        <v>611</v>
      </c>
      <c r="B422" s="3">
        <v>45855</v>
      </c>
      <c r="C422" t="s">
        <v>255</v>
      </c>
      <c r="D422" t="s">
        <v>35</v>
      </c>
      <c r="E422">
        <v>50</v>
      </c>
      <c r="F422" t="s">
        <v>19</v>
      </c>
      <c r="G422" t="s">
        <v>20</v>
      </c>
      <c r="H422" t="s">
        <v>21</v>
      </c>
      <c r="I422">
        <v>3</v>
      </c>
      <c r="J422">
        <v>1999</v>
      </c>
      <c r="K422">
        <v>5997</v>
      </c>
      <c r="L422">
        <v>10</v>
      </c>
      <c r="M422" t="s">
        <v>22</v>
      </c>
      <c r="N422" t="s">
        <v>23</v>
      </c>
      <c r="O422" t="s">
        <v>24</v>
      </c>
      <c r="P422" t="s">
        <v>54</v>
      </c>
    </row>
    <row r="423" spans="1:16" x14ac:dyDescent="0.25">
      <c r="A423" t="s">
        <v>612</v>
      </c>
      <c r="B423" s="3">
        <v>45669</v>
      </c>
      <c r="C423" t="s">
        <v>192</v>
      </c>
      <c r="D423" t="s">
        <v>18</v>
      </c>
      <c r="E423">
        <v>51</v>
      </c>
      <c r="F423" t="s">
        <v>43</v>
      </c>
      <c r="G423" t="s">
        <v>68</v>
      </c>
      <c r="H423" t="s">
        <v>69</v>
      </c>
      <c r="I423">
        <v>5</v>
      </c>
      <c r="J423">
        <v>2499</v>
      </c>
      <c r="K423">
        <v>12495</v>
      </c>
      <c r="L423">
        <v>10</v>
      </c>
      <c r="M423" t="s">
        <v>22</v>
      </c>
      <c r="N423" t="s">
        <v>61</v>
      </c>
      <c r="O423" t="s">
        <v>48</v>
      </c>
      <c r="P423" t="s">
        <v>32</v>
      </c>
    </row>
    <row r="424" spans="1:16" x14ac:dyDescent="0.25">
      <c r="A424" t="s">
        <v>613</v>
      </c>
      <c r="B424" s="3">
        <v>45978</v>
      </c>
      <c r="C424" t="s">
        <v>360</v>
      </c>
      <c r="D424" t="s">
        <v>18</v>
      </c>
      <c r="E424">
        <v>50</v>
      </c>
      <c r="F424" t="s">
        <v>43</v>
      </c>
      <c r="G424" t="s">
        <v>20</v>
      </c>
      <c r="H424" t="s">
        <v>77</v>
      </c>
      <c r="I424">
        <v>3</v>
      </c>
      <c r="J424">
        <v>599</v>
      </c>
      <c r="K424">
        <v>1797</v>
      </c>
      <c r="L424">
        <v>0</v>
      </c>
      <c r="M424" t="s">
        <v>46</v>
      </c>
      <c r="N424" t="s">
        <v>61</v>
      </c>
      <c r="O424" t="s">
        <v>24</v>
      </c>
      <c r="P424" t="s">
        <v>103</v>
      </c>
    </row>
    <row r="425" spans="1:16" x14ac:dyDescent="0.25">
      <c r="A425" t="s">
        <v>614</v>
      </c>
      <c r="B425" s="3">
        <v>45859</v>
      </c>
      <c r="C425" t="s">
        <v>188</v>
      </c>
      <c r="D425" t="s">
        <v>18</v>
      </c>
      <c r="E425">
        <v>23</v>
      </c>
      <c r="F425" t="s">
        <v>28</v>
      </c>
      <c r="G425" t="s">
        <v>44</v>
      </c>
      <c r="H425" t="s">
        <v>235</v>
      </c>
      <c r="I425">
        <v>2</v>
      </c>
      <c r="J425">
        <v>599</v>
      </c>
      <c r="K425">
        <v>1198</v>
      </c>
      <c r="L425">
        <v>20</v>
      </c>
      <c r="M425" t="s">
        <v>85</v>
      </c>
      <c r="N425" t="s">
        <v>47</v>
      </c>
      <c r="O425" t="s">
        <v>39</v>
      </c>
      <c r="P425" t="s">
        <v>89</v>
      </c>
    </row>
    <row r="426" spans="1:16" x14ac:dyDescent="0.25">
      <c r="A426" t="s">
        <v>615</v>
      </c>
      <c r="B426" s="3">
        <v>45967</v>
      </c>
      <c r="C426" t="s">
        <v>119</v>
      </c>
      <c r="D426" t="s">
        <v>35</v>
      </c>
      <c r="E426">
        <v>52</v>
      </c>
      <c r="F426" t="s">
        <v>124</v>
      </c>
      <c r="G426" t="s">
        <v>68</v>
      </c>
      <c r="H426" t="s">
        <v>137</v>
      </c>
      <c r="I426">
        <v>4</v>
      </c>
      <c r="J426">
        <v>499</v>
      </c>
      <c r="K426">
        <v>1996</v>
      </c>
      <c r="L426">
        <v>5</v>
      </c>
      <c r="M426" t="s">
        <v>53</v>
      </c>
      <c r="N426" t="s">
        <v>47</v>
      </c>
      <c r="O426" t="s">
        <v>24</v>
      </c>
      <c r="P426" t="s">
        <v>86</v>
      </c>
    </row>
    <row r="427" spans="1:16" x14ac:dyDescent="0.25">
      <c r="A427" t="s">
        <v>616</v>
      </c>
      <c r="B427" s="3">
        <v>45993</v>
      </c>
      <c r="C427" t="s">
        <v>302</v>
      </c>
      <c r="D427" t="s">
        <v>18</v>
      </c>
      <c r="E427">
        <v>38</v>
      </c>
      <c r="F427" t="s">
        <v>19</v>
      </c>
      <c r="G427" t="s">
        <v>68</v>
      </c>
      <c r="H427" t="s">
        <v>137</v>
      </c>
      <c r="I427">
        <v>4</v>
      </c>
      <c r="J427">
        <v>299</v>
      </c>
      <c r="K427">
        <v>1196</v>
      </c>
      <c r="L427">
        <v>20</v>
      </c>
      <c r="M427" t="s">
        <v>85</v>
      </c>
      <c r="N427" t="s">
        <v>23</v>
      </c>
      <c r="O427" t="s">
        <v>24</v>
      </c>
      <c r="P427" t="s">
        <v>57</v>
      </c>
    </row>
    <row r="428" spans="1:16" x14ac:dyDescent="0.25">
      <c r="A428" t="s">
        <v>617</v>
      </c>
      <c r="B428" s="3">
        <v>45868</v>
      </c>
      <c r="C428" t="s">
        <v>360</v>
      </c>
      <c r="D428" t="s">
        <v>35</v>
      </c>
      <c r="E428">
        <v>58</v>
      </c>
      <c r="F428" t="s">
        <v>43</v>
      </c>
      <c r="G428" t="s">
        <v>29</v>
      </c>
      <c r="H428" t="s">
        <v>108</v>
      </c>
      <c r="I428">
        <v>3</v>
      </c>
      <c r="J428">
        <v>799</v>
      </c>
      <c r="K428">
        <v>2397</v>
      </c>
      <c r="L428">
        <v>5</v>
      </c>
      <c r="M428" t="s">
        <v>53</v>
      </c>
      <c r="N428" t="s">
        <v>23</v>
      </c>
      <c r="O428" t="s">
        <v>24</v>
      </c>
      <c r="P428" t="s">
        <v>32</v>
      </c>
    </row>
    <row r="429" spans="1:16" x14ac:dyDescent="0.25">
      <c r="A429" t="s">
        <v>618</v>
      </c>
      <c r="B429" s="3">
        <v>45968</v>
      </c>
      <c r="C429" t="s">
        <v>302</v>
      </c>
      <c r="D429" t="s">
        <v>18</v>
      </c>
      <c r="E429">
        <v>56</v>
      </c>
      <c r="F429" t="s">
        <v>76</v>
      </c>
      <c r="G429" t="s">
        <v>20</v>
      </c>
      <c r="H429" t="s">
        <v>81</v>
      </c>
      <c r="I429">
        <v>5</v>
      </c>
      <c r="J429">
        <v>499</v>
      </c>
      <c r="K429">
        <v>2495</v>
      </c>
      <c r="L429">
        <v>5</v>
      </c>
      <c r="M429" t="s">
        <v>38</v>
      </c>
      <c r="N429" t="s">
        <v>31</v>
      </c>
      <c r="O429" t="s">
        <v>24</v>
      </c>
      <c r="P429" t="s">
        <v>82</v>
      </c>
    </row>
    <row r="430" spans="1:16" x14ac:dyDescent="0.25">
      <c r="A430" t="s">
        <v>619</v>
      </c>
      <c r="B430" s="3">
        <v>46022</v>
      </c>
      <c r="C430" t="s">
        <v>164</v>
      </c>
      <c r="D430" t="s">
        <v>35</v>
      </c>
      <c r="E430">
        <v>29</v>
      </c>
      <c r="F430" t="s">
        <v>28</v>
      </c>
      <c r="G430" t="s">
        <v>29</v>
      </c>
      <c r="H430" t="s">
        <v>200</v>
      </c>
      <c r="I430">
        <v>5</v>
      </c>
      <c r="J430">
        <v>999</v>
      </c>
      <c r="K430">
        <v>4995</v>
      </c>
      <c r="L430">
        <v>15</v>
      </c>
      <c r="M430" t="s">
        <v>22</v>
      </c>
      <c r="N430" t="s">
        <v>47</v>
      </c>
      <c r="O430" t="s">
        <v>24</v>
      </c>
      <c r="P430" t="s">
        <v>54</v>
      </c>
    </row>
    <row r="431" spans="1:16" x14ac:dyDescent="0.25">
      <c r="A431" t="s">
        <v>620</v>
      </c>
      <c r="B431" s="3">
        <v>45796</v>
      </c>
      <c r="C431" t="s">
        <v>93</v>
      </c>
      <c r="D431" t="s">
        <v>18</v>
      </c>
      <c r="E431">
        <v>60</v>
      </c>
      <c r="F431" t="s">
        <v>76</v>
      </c>
      <c r="G431" t="s">
        <v>29</v>
      </c>
      <c r="H431" t="s">
        <v>108</v>
      </c>
      <c r="I431">
        <v>4</v>
      </c>
      <c r="J431">
        <v>199</v>
      </c>
      <c r="K431">
        <v>796</v>
      </c>
      <c r="L431">
        <v>5</v>
      </c>
      <c r="M431" t="s">
        <v>38</v>
      </c>
      <c r="N431" t="s">
        <v>47</v>
      </c>
      <c r="O431" t="s">
        <v>39</v>
      </c>
      <c r="P431" t="s">
        <v>40</v>
      </c>
    </row>
    <row r="432" spans="1:16" x14ac:dyDescent="0.25">
      <c r="A432" t="s">
        <v>621</v>
      </c>
      <c r="B432" s="3">
        <v>45876</v>
      </c>
      <c r="C432" t="s">
        <v>129</v>
      </c>
      <c r="D432" t="s">
        <v>18</v>
      </c>
      <c r="E432">
        <v>56</v>
      </c>
      <c r="F432" t="s">
        <v>28</v>
      </c>
      <c r="G432" t="s">
        <v>36</v>
      </c>
      <c r="H432" t="s">
        <v>37</v>
      </c>
      <c r="I432">
        <v>4</v>
      </c>
      <c r="J432">
        <v>399</v>
      </c>
      <c r="K432">
        <v>1596</v>
      </c>
      <c r="L432">
        <v>10</v>
      </c>
      <c r="M432" t="s">
        <v>22</v>
      </c>
      <c r="N432" t="s">
        <v>23</v>
      </c>
      <c r="O432" t="s">
        <v>48</v>
      </c>
      <c r="P432" t="s">
        <v>203</v>
      </c>
    </row>
    <row r="433" spans="1:16" x14ac:dyDescent="0.25">
      <c r="A433" t="s">
        <v>622</v>
      </c>
      <c r="B433" s="3">
        <v>45923</v>
      </c>
      <c r="C433" t="s">
        <v>56</v>
      </c>
      <c r="D433" t="s">
        <v>35</v>
      </c>
      <c r="E433">
        <v>20</v>
      </c>
      <c r="F433" t="s">
        <v>28</v>
      </c>
      <c r="G433" t="s">
        <v>36</v>
      </c>
      <c r="H433" t="s">
        <v>355</v>
      </c>
      <c r="I433">
        <v>1</v>
      </c>
      <c r="J433">
        <v>399</v>
      </c>
      <c r="K433">
        <v>399</v>
      </c>
      <c r="L433">
        <v>20</v>
      </c>
      <c r="M433" t="s">
        <v>38</v>
      </c>
      <c r="N433" t="s">
        <v>47</v>
      </c>
      <c r="O433" t="s">
        <v>39</v>
      </c>
      <c r="P433" t="s">
        <v>62</v>
      </c>
    </row>
    <row r="434" spans="1:16" x14ac:dyDescent="0.25">
      <c r="A434" t="s">
        <v>623</v>
      </c>
      <c r="B434" s="3">
        <v>45743</v>
      </c>
      <c r="C434" t="s">
        <v>606</v>
      </c>
      <c r="D434" t="s">
        <v>35</v>
      </c>
      <c r="E434">
        <v>57</v>
      </c>
      <c r="F434" t="s">
        <v>98</v>
      </c>
      <c r="G434" t="s">
        <v>36</v>
      </c>
      <c r="H434" t="s">
        <v>37</v>
      </c>
      <c r="I434">
        <v>3</v>
      </c>
      <c r="J434">
        <v>999</v>
      </c>
      <c r="K434">
        <v>2997</v>
      </c>
      <c r="L434">
        <v>20</v>
      </c>
      <c r="M434" t="s">
        <v>53</v>
      </c>
      <c r="N434" t="s">
        <v>61</v>
      </c>
      <c r="O434" t="s">
        <v>48</v>
      </c>
      <c r="P434" t="s">
        <v>62</v>
      </c>
    </row>
    <row r="435" spans="1:16" x14ac:dyDescent="0.25">
      <c r="A435" t="s">
        <v>624</v>
      </c>
      <c r="B435" s="3">
        <v>45957</v>
      </c>
      <c r="C435" t="s">
        <v>145</v>
      </c>
      <c r="D435" t="s">
        <v>18</v>
      </c>
      <c r="E435">
        <v>43</v>
      </c>
      <c r="F435" t="s">
        <v>28</v>
      </c>
      <c r="G435" t="s">
        <v>20</v>
      </c>
      <c r="H435" t="s">
        <v>81</v>
      </c>
      <c r="I435">
        <v>1</v>
      </c>
      <c r="J435">
        <v>299</v>
      </c>
      <c r="K435">
        <v>299</v>
      </c>
      <c r="L435">
        <v>10</v>
      </c>
      <c r="M435" t="s">
        <v>22</v>
      </c>
      <c r="N435" t="s">
        <v>23</v>
      </c>
      <c r="O435" t="s">
        <v>24</v>
      </c>
      <c r="P435" t="s">
        <v>62</v>
      </c>
    </row>
    <row r="436" spans="1:16" x14ac:dyDescent="0.25">
      <c r="A436" t="s">
        <v>625</v>
      </c>
      <c r="B436" s="3">
        <v>45786</v>
      </c>
      <c r="C436" t="s">
        <v>139</v>
      </c>
      <c r="D436" t="s">
        <v>18</v>
      </c>
      <c r="E436">
        <v>25</v>
      </c>
      <c r="F436" t="s">
        <v>19</v>
      </c>
      <c r="G436" t="s">
        <v>68</v>
      </c>
      <c r="H436" t="s">
        <v>137</v>
      </c>
      <c r="I436">
        <v>4</v>
      </c>
      <c r="J436">
        <v>249</v>
      </c>
      <c r="K436">
        <v>996</v>
      </c>
      <c r="L436">
        <v>0</v>
      </c>
      <c r="M436" t="s">
        <v>22</v>
      </c>
      <c r="N436" t="s">
        <v>31</v>
      </c>
      <c r="O436" t="s">
        <v>24</v>
      </c>
      <c r="P436" t="s">
        <v>78</v>
      </c>
    </row>
    <row r="437" spans="1:16" x14ac:dyDescent="0.25">
      <c r="A437" t="s">
        <v>626</v>
      </c>
      <c r="B437" s="3">
        <v>45851</v>
      </c>
      <c r="C437" t="s">
        <v>97</v>
      </c>
      <c r="D437" t="s">
        <v>35</v>
      </c>
      <c r="E437">
        <v>20</v>
      </c>
      <c r="F437" t="s">
        <v>124</v>
      </c>
      <c r="G437" t="s">
        <v>36</v>
      </c>
      <c r="H437" t="s">
        <v>133</v>
      </c>
      <c r="I437">
        <v>5</v>
      </c>
      <c r="J437">
        <v>299</v>
      </c>
      <c r="K437">
        <v>1495</v>
      </c>
      <c r="L437">
        <v>10</v>
      </c>
      <c r="M437" t="s">
        <v>85</v>
      </c>
      <c r="N437" t="s">
        <v>47</v>
      </c>
      <c r="O437" t="s">
        <v>24</v>
      </c>
      <c r="P437" t="s">
        <v>65</v>
      </c>
    </row>
    <row r="438" spans="1:16" x14ac:dyDescent="0.25">
      <c r="A438" t="s">
        <v>627</v>
      </c>
      <c r="B438" s="3">
        <v>45816</v>
      </c>
      <c r="C438" t="s">
        <v>495</v>
      </c>
      <c r="D438" t="s">
        <v>35</v>
      </c>
      <c r="E438">
        <v>36</v>
      </c>
      <c r="F438" t="s">
        <v>124</v>
      </c>
      <c r="G438" t="s">
        <v>29</v>
      </c>
      <c r="H438" t="s">
        <v>108</v>
      </c>
      <c r="I438">
        <v>4</v>
      </c>
      <c r="J438">
        <v>499</v>
      </c>
      <c r="K438">
        <v>1996</v>
      </c>
      <c r="L438">
        <v>0</v>
      </c>
      <c r="M438" t="s">
        <v>53</v>
      </c>
      <c r="N438" t="s">
        <v>47</v>
      </c>
      <c r="O438" t="s">
        <v>24</v>
      </c>
      <c r="P438" t="s">
        <v>40</v>
      </c>
    </row>
    <row r="439" spans="1:16" x14ac:dyDescent="0.25">
      <c r="A439" t="s">
        <v>628</v>
      </c>
      <c r="B439" s="3">
        <v>45913</v>
      </c>
      <c r="C439" t="s">
        <v>114</v>
      </c>
      <c r="D439" t="s">
        <v>18</v>
      </c>
      <c r="E439">
        <v>56</v>
      </c>
      <c r="F439" t="s">
        <v>51</v>
      </c>
      <c r="G439" t="s">
        <v>44</v>
      </c>
      <c r="H439" t="s">
        <v>45</v>
      </c>
      <c r="I439">
        <v>4</v>
      </c>
      <c r="J439">
        <v>999</v>
      </c>
      <c r="K439">
        <v>3996</v>
      </c>
      <c r="L439">
        <v>5</v>
      </c>
      <c r="M439" t="s">
        <v>53</v>
      </c>
      <c r="N439" t="s">
        <v>61</v>
      </c>
      <c r="O439" t="s">
        <v>39</v>
      </c>
      <c r="P439" t="s">
        <v>134</v>
      </c>
    </row>
    <row r="440" spans="1:16" x14ac:dyDescent="0.25">
      <c r="A440" t="s">
        <v>629</v>
      </c>
      <c r="B440" s="3">
        <v>45661</v>
      </c>
      <c r="C440" t="s">
        <v>259</v>
      </c>
      <c r="D440" t="s">
        <v>35</v>
      </c>
      <c r="E440">
        <v>57</v>
      </c>
      <c r="F440" t="s">
        <v>76</v>
      </c>
      <c r="G440" t="s">
        <v>36</v>
      </c>
      <c r="H440" t="s">
        <v>156</v>
      </c>
      <c r="I440">
        <v>5</v>
      </c>
      <c r="J440">
        <v>1499</v>
      </c>
      <c r="K440">
        <v>7495</v>
      </c>
      <c r="L440">
        <v>0</v>
      </c>
      <c r="M440" t="s">
        <v>53</v>
      </c>
      <c r="N440" t="s">
        <v>47</v>
      </c>
      <c r="O440" t="s">
        <v>24</v>
      </c>
      <c r="P440" t="s">
        <v>125</v>
      </c>
    </row>
    <row r="441" spans="1:16" x14ac:dyDescent="0.25">
      <c r="A441" t="s">
        <v>630</v>
      </c>
      <c r="B441" s="3">
        <v>45953</v>
      </c>
      <c r="C441" t="s">
        <v>221</v>
      </c>
      <c r="D441" t="s">
        <v>35</v>
      </c>
      <c r="E441">
        <v>39</v>
      </c>
      <c r="F441" t="s">
        <v>19</v>
      </c>
      <c r="G441" t="s">
        <v>20</v>
      </c>
      <c r="H441" t="s">
        <v>52</v>
      </c>
      <c r="I441">
        <v>1</v>
      </c>
      <c r="J441">
        <v>1999</v>
      </c>
      <c r="K441">
        <v>1999</v>
      </c>
      <c r="L441">
        <v>0</v>
      </c>
      <c r="M441" t="s">
        <v>38</v>
      </c>
      <c r="N441" t="s">
        <v>61</v>
      </c>
      <c r="O441" t="s">
        <v>24</v>
      </c>
      <c r="P441" t="s">
        <v>32</v>
      </c>
    </row>
    <row r="442" spans="1:16" x14ac:dyDescent="0.25">
      <c r="A442" t="s">
        <v>631</v>
      </c>
      <c r="B442" s="3">
        <v>45945</v>
      </c>
      <c r="C442" t="s">
        <v>224</v>
      </c>
      <c r="D442" t="s">
        <v>35</v>
      </c>
      <c r="E442">
        <v>55</v>
      </c>
      <c r="F442" t="s">
        <v>60</v>
      </c>
      <c r="G442" t="s">
        <v>44</v>
      </c>
      <c r="H442" t="s">
        <v>151</v>
      </c>
      <c r="I442">
        <v>5</v>
      </c>
      <c r="J442">
        <v>1499</v>
      </c>
      <c r="K442">
        <v>7495</v>
      </c>
      <c r="L442">
        <v>0</v>
      </c>
      <c r="M442" t="s">
        <v>38</v>
      </c>
      <c r="N442" t="s">
        <v>31</v>
      </c>
      <c r="O442" t="s">
        <v>39</v>
      </c>
      <c r="P442" t="s">
        <v>125</v>
      </c>
    </row>
    <row r="443" spans="1:16" x14ac:dyDescent="0.25">
      <c r="A443" t="s">
        <v>632</v>
      </c>
      <c r="B443" s="3">
        <v>45691</v>
      </c>
      <c r="C443" t="s">
        <v>180</v>
      </c>
      <c r="D443" t="s">
        <v>35</v>
      </c>
      <c r="E443">
        <v>26</v>
      </c>
      <c r="F443" t="s">
        <v>19</v>
      </c>
      <c r="G443" t="s">
        <v>36</v>
      </c>
      <c r="H443" t="s">
        <v>156</v>
      </c>
      <c r="I443">
        <v>4</v>
      </c>
      <c r="J443">
        <v>1299</v>
      </c>
      <c r="K443">
        <v>5196</v>
      </c>
      <c r="L443">
        <v>10</v>
      </c>
      <c r="M443" t="s">
        <v>46</v>
      </c>
      <c r="N443" t="s">
        <v>61</v>
      </c>
      <c r="O443" t="s">
        <v>48</v>
      </c>
      <c r="P443" t="s">
        <v>54</v>
      </c>
    </row>
    <row r="444" spans="1:16" x14ac:dyDescent="0.25">
      <c r="A444" t="s">
        <v>633</v>
      </c>
      <c r="B444" s="3">
        <v>45950</v>
      </c>
      <c r="C444" t="s">
        <v>495</v>
      </c>
      <c r="D444" t="s">
        <v>18</v>
      </c>
      <c r="E444">
        <v>48</v>
      </c>
      <c r="F444" t="s">
        <v>43</v>
      </c>
      <c r="G444" t="s">
        <v>29</v>
      </c>
      <c r="H444" t="s">
        <v>200</v>
      </c>
      <c r="I444">
        <v>1</v>
      </c>
      <c r="J444">
        <v>249</v>
      </c>
      <c r="K444">
        <v>249</v>
      </c>
      <c r="L444">
        <v>15</v>
      </c>
      <c r="M444" t="s">
        <v>85</v>
      </c>
      <c r="N444" t="s">
        <v>31</v>
      </c>
      <c r="O444" t="s">
        <v>39</v>
      </c>
      <c r="P444" t="s">
        <v>78</v>
      </c>
    </row>
    <row r="445" spans="1:16" x14ac:dyDescent="0.25">
      <c r="A445" t="s">
        <v>634</v>
      </c>
      <c r="B445" s="3">
        <v>45972</v>
      </c>
      <c r="C445" t="s">
        <v>302</v>
      </c>
      <c r="D445" t="s">
        <v>35</v>
      </c>
      <c r="E445">
        <v>51</v>
      </c>
      <c r="F445" t="s">
        <v>51</v>
      </c>
      <c r="G445" t="s">
        <v>68</v>
      </c>
      <c r="H445" t="s">
        <v>94</v>
      </c>
      <c r="I445">
        <v>3</v>
      </c>
      <c r="J445">
        <v>299</v>
      </c>
      <c r="K445">
        <v>897</v>
      </c>
      <c r="L445">
        <v>15</v>
      </c>
      <c r="M445" t="s">
        <v>53</v>
      </c>
      <c r="N445" t="s">
        <v>47</v>
      </c>
      <c r="O445" t="s">
        <v>48</v>
      </c>
      <c r="P445" t="s">
        <v>86</v>
      </c>
    </row>
    <row r="446" spans="1:16" x14ac:dyDescent="0.25">
      <c r="A446" t="s">
        <v>635</v>
      </c>
      <c r="B446" s="3">
        <v>45896</v>
      </c>
      <c r="C446" t="s">
        <v>199</v>
      </c>
      <c r="D446" t="s">
        <v>18</v>
      </c>
      <c r="E446">
        <v>31</v>
      </c>
      <c r="F446" t="s">
        <v>28</v>
      </c>
      <c r="G446" t="s">
        <v>29</v>
      </c>
      <c r="H446" t="s">
        <v>108</v>
      </c>
      <c r="I446">
        <v>1</v>
      </c>
      <c r="J446">
        <v>199</v>
      </c>
      <c r="K446">
        <v>199</v>
      </c>
      <c r="L446">
        <v>15</v>
      </c>
      <c r="M446" t="s">
        <v>38</v>
      </c>
      <c r="N446" t="s">
        <v>31</v>
      </c>
      <c r="O446" t="s">
        <v>39</v>
      </c>
      <c r="P446" t="s">
        <v>103</v>
      </c>
    </row>
    <row r="447" spans="1:16" x14ac:dyDescent="0.25">
      <c r="A447" t="s">
        <v>636</v>
      </c>
      <c r="B447" s="3">
        <v>45802</v>
      </c>
      <c r="C447" t="s">
        <v>197</v>
      </c>
      <c r="D447" t="s">
        <v>18</v>
      </c>
      <c r="E447">
        <v>37</v>
      </c>
      <c r="F447" t="s">
        <v>43</v>
      </c>
      <c r="G447" t="s">
        <v>29</v>
      </c>
      <c r="H447" t="s">
        <v>108</v>
      </c>
      <c r="I447">
        <v>2</v>
      </c>
      <c r="J447">
        <v>2499</v>
      </c>
      <c r="K447">
        <v>4998</v>
      </c>
      <c r="L447">
        <v>20</v>
      </c>
      <c r="M447" t="s">
        <v>85</v>
      </c>
      <c r="N447" t="s">
        <v>31</v>
      </c>
      <c r="O447" t="s">
        <v>24</v>
      </c>
      <c r="P447" t="s">
        <v>203</v>
      </c>
    </row>
    <row r="448" spans="1:16" x14ac:dyDescent="0.25">
      <c r="A448" t="s">
        <v>637</v>
      </c>
      <c r="B448" s="3">
        <v>45949</v>
      </c>
      <c r="C448" t="s">
        <v>239</v>
      </c>
      <c r="D448" t="s">
        <v>18</v>
      </c>
      <c r="E448">
        <v>29</v>
      </c>
      <c r="F448" t="s">
        <v>76</v>
      </c>
      <c r="G448" t="s">
        <v>44</v>
      </c>
      <c r="H448" t="s">
        <v>177</v>
      </c>
      <c r="I448">
        <v>4</v>
      </c>
      <c r="J448">
        <v>2499</v>
      </c>
      <c r="K448">
        <v>9996</v>
      </c>
      <c r="L448">
        <v>10</v>
      </c>
      <c r="M448" t="s">
        <v>46</v>
      </c>
      <c r="N448" t="s">
        <v>61</v>
      </c>
      <c r="O448" t="s">
        <v>39</v>
      </c>
      <c r="P448" t="s">
        <v>117</v>
      </c>
    </row>
    <row r="449" spans="1:16" x14ac:dyDescent="0.25">
      <c r="A449" t="s">
        <v>638</v>
      </c>
      <c r="B449" s="3">
        <v>45893</v>
      </c>
      <c r="C449" t="s">
        <v>56</v>
      </c>
      <c r="D449" t="s">
        <v>35</v>
      </c>
      <c r="E449">
        <v>47</v>
      </c>
      <c r="F449" t="s">
        <v>28</v>
      </c>
      <c r="G449" t="s">
        <v>29</v>
      </c>
      <c r="H449" t="s">
        <v>140</v>
      </c>
      <c r="I449">
        <v>2</v>
      </c>
      <c r="J449">
        <v>1999</v>
      </c>
      <c r="K449">
        <v>3998</v>
      </c>
      <c r="L449">
        <v>0</v>
      </c>
      <c r="M449" t="s">
        <v>85</v>
      </c>
      <c r="N449" t="s">
        <v>31</v>
      </c>
      <c r="O449" t="s">
        <v>48</v>
      </c>
      <c r="P449" t="s">
        <v>57</v>
      </c>
    </row>
    <row r="450" spans="1:16" x14ac:dyDescent="0.25">
      <c r="A450" t="s">
        <v>639</v>
      </c>
      <c r="B450" s="3">
        <v>45953</v>
      </c>
      <c r="C450" t="s">
        <v>377</v>
      </c>
      <c r="D450" t="s">
        <v>35</v>
      </c>
      <c r="E450">
        <v>40</v>
      </c>
      <c r="F450" t="s">
        <v>19</v>
      </c>
      <c r="G450" t="s">
        <v>68</v>
      </c>
      <c r="H450" t="s">
        <v>94</v>
      </c>
      <c r="I450">
        <v>1</v>
      </c>
      <c r="J450">
        <v>399</v>
      </c>
      <c r="K450">
        <v>399</v>
      </c>
      <c r="L450">
        <v>5</v>
      </c>
      <c r="M450" t="s">
        <v>46</v>
      </c>
      <c r="N450" t="s">
        <v>23</v>
      </c>
      <c r="O450" t="s">
        <v>39</v>
      </c>
      <c r="P450" t="s">
        <v>157</v>
      </c>
    </row>
    <row r="451" spans="1:16" x14ac:dyDescent="0.25">
      <c r="A451" t="s">
        <v>640</v>
      </c>
      <c r="B451" s="3">
        <v>45857</v>
      </c>
      <c r="C451" t="s">
        <v>452</v>
      </c>
      <c r="D451" t="s">
        <v>18</v>
      </c>
      <c r="E451">
        <v>37</v>
      </c>
      <c r="F451" t="s">
        <v>60</v>
      </c>
      <c r="G451" t="s">
        <v>68</v>
      </c>
      <c r="H451" t="s">
        <v>137</v>
      </c>
      <c r="I451">
        <v>5</v>
      </c>
      <c r="J451">
        <v>1499</v>
      </c>
      <c r="K451">
        <v>7495</v>
      </c>
      <c r="L451">
        <v>0</v>
      </c>
      <c r="M451" t="s">
        <v>46</v>
      </c>
      <c r="N451" t="s">
        <v>61</v>
      </c>
      <c r="O451" t="s">
        <v>24</v>
      </c>
      <c r="P451" t="s">
        <v>82</v>
      </c>
    </row>
    <row r="452" spans="1:16" x14ac:dyDescent="0.25">
      <c r="A452" t="s">
        <v>641</v>
      </c>
      <c r="B452" s="3">
        <v>45768</v>
      </c>
      <c r="C452" t="s">
        <v>286</v>
      </c>
      <c r="D452" t="s">
        <v>35</v>
      </c>
      <c r="E452">
        <v>29</v>
      </c>
      <c r="F452" t="s">
        <v>19</v>
      </c>
      <c r="G452" t="s">
        <v>29</v>
      </c>
      <c r="H452" t="s">
        <v>64</v>
      </c>
      <c r="I452">
        <v>4</v>
      </c>
      <c r="J452">
        <v>499</v>
      </c>
      <c r="K452">
        <v>1996</v>
      </c>
      <c r="L452">
        <v>10</v>
      </c>
      <c r="M452" t="s">
        <v>38</v>
      </c>
      <c r="N452" t="s">
        <v>47</v>
      </c>
      <c r="O452" t="s">
        <v>24</v>
      </c>
      <c r="P452" t="s">
        <v>62</v>
      </c>
    </row>
    <row r="453" spans="1:16" x14ac:dyDescent="0.25">
      <c r="A453" t="s">
        <v>642</v>
      </c>
      <c r="B453" s="3">
        <v>45736</v>
      </c>
      <c r="C453" t="s">
        <v>266</v>
      </c>
      <c r="D453" t="s">
        <v>35</v>
      </c>
      <c r="E453">
        <v>48</v>
      </c>
      <c r="F453" t="s">
        <v>43</v>
      </c>
      <c r="G453" t="s">
        <v>68</v>
      </c>
      <c r="H453" t="s">
        <v>73</v>
      </c>
      <c r="I453">
        <v>4</v>
      </c>
      <c r="J453">
        <v>1299</v>
      </c>
      <c r="K453">
        <v>5196</v>
      </c>
      <c r="L453">
        <v>10</v>
      </c>
      <c r="M453" t="s">
        <v>53</v>
      </c>
      <c r="N453" t="s">
        <v>23</v>
      </c>
      <c r="O453" t="s">
        <v>48</v>
      </c>
      <c r="P453" t="s">
        <v>65</v>
      </c>
    </row>
    <row r="454" spans="1:16" x14ac:dyDescent="0.25">
      <c r="A454" t="s">
        <v>643</v>
      </c>
      <c r="B454" s="3">
        <v>45925</v>
      </c>
      <c r="C454" t="s">
        <v>80</v>
      </c>
      <c r="D454" t="s">
        <v>18</v>
      </c>
      <c r="E454">
        <v>37</v>
      </c>
      <c r="F454" t="s">
        <v>98</v>
      </c>
      <c r="G454" t="s">
        <v>29</v>
      </c>
      <c r="H454" t="s">
        <v>108</v>
      </c>
      <c r="I454">
        <v>4</v>
      </c>
      <c r="J454">
        <v>799</v>
      </c>
      <c r="K454">
        <v>3196</v>
      </c>
      <c r="L454">
        <v>20</v>
      </c>
      <c r="M454" t="s">
        <v>38</v>
      </c>
      <c r="N454" t="s">
        <v>31</v>
      </c>
      <c r="O454" t="s">
        <v>39</v>
      </c>
      <c r="P454" t="s">
        <v>117</v>
      </c>
    </row>
    <row r="455" spans="1:16" x14ac:dyDescent="0.25">
      <c r="A455" t="s">
        <v>644</v>
      </c>
      <c r="B455" s="3">
        <v>45953</v>
      </c>
      <c r="C455" t="s">
        <v>34</v>
      </c>
      <c r="D455" t="s">
        <v>35</v>
      </c>
      <c r="E455">
        <v>58</v>
      </c>
      <c r="F455" t="s">
        <v>76</v>
      </c>
      <c r="G455" t="s">
        <v>20</v>
      </c>
      <c r="H455" t="s">
        <v>81</v>
      </c>
      <c r="I455">
        <v>3</v>
      </c>
      <c r="J455">
        <v>199</v>
      </c>
      <c r="K455">
        <v>597</v>
      </c>
      <c r="L455">
        <v>10</v>
      </c>
      <c r="M455" t="s">
        <v>53</v>
      </c>
      <c r="N455" t="s">
        <v>47</v>
      </c>
      <c r="O455" t="s">
        <v>39</v>
      </c>
      <c r="P455" t="s">
        <v>70</v>
      </c>
    </row>
    <row r="456" spans="1:16" x14ac:dyDescent="0.25">
      <c r="A456" t="s">
        <v>645</v>
      </c>
      <c r="B456" s="3">
        <v>45718</v>
      </c>
      <c r="C456" t="s">
        <v>59</v>
      </c>
      <c r="D456" t="s">
        <v>18</v>
      </c>
      <c r="E456">
        <v>28</v>
      </c>
      <c r="F456" t="s">
        <v>43</v>
      </c>
      <c r="G456" t="s">
        <v>68</v>
      </c>
      <c r="H456" t="s">
        <v>171</v>
      </c>
      <c r="I456">
        <v>4</v>
      </c>
      <c r="J456">
        <v>1999</v>
      </c>
      <c r="K456">
        <v>7996</v>
      </c>
      <c r="L456">
        <v>0</v>
      </c>
      <c r="M456" t="s">
        <v>38</v>
      </c>
      <c r="N456" t="s">
        <v>23</v>
      </c>
      <c r="O456" t="s">
        <v>24</v>
      </c>
      <c r="P456" t="s">
        <v>103</v>
      </c>
    </row>
    <row r="457" spans="1:16" x14ac:dyDescent="0.25">
      <c r="A457" t="s">
        <v>646</v>
      </c>
      <c r="B457" s="3">
        <v>45730</v>
      </c>
      <c r="C457" t="s">
        <v>257</v>
      </c>
      <c r="D457" t="s">
        <v>35</v>
      </c>
      <c r="E457">
        <v>54</v>
      </c>
      <c r="F457" t="s">
        <v>76</v>
      </c>
      <c r="G457" t="s">
        <v>44</v>
      </c>
      <c r="H457" t="s">
        <v>151</v>
      </c>
      <c r="I457">
        <v>3</v>
      </c>
      <c r="J457">
        <v>499</v>
      </c>
      <c r="K457">
        <v>1497</v>
      </c>
      <c r="L457">
        <v>5</v>
      </c>
      <c r="M457" t="s">
        <v>38</v>
      </c>
      <c r="N457" t="s">
        <v>31</v>
      </c>
      <c r="O457" t="s">
        <v>48</v>
      </c>
      <c r="P457" t="s">
        <v>57</v>
      </c>
    </row>
    <row r="458" spans="1:16" x14ac:dyDescent="0.25">
      <c r="A458" t="s">
        <v>648</v>
      </c>
      <c r="B458" s="3">
        <v>45672</v>
      </c>
      <c r="C458" t="s">
        <v>84</v>
      </c>
      <c r="D458" t="s">
        <v>18</v>
      </c>
      <c r="E458">
        <v>24</v>
      </c>
      <c r="F458" t="s">
        <v>28</v>
      </c>
      <c r="G458" t="s">
        <v>68</v>
      </c>
      <c r="H458" t="s">
        <v>69</v>
      </c>
      <c r="I458">
        <v>1</v>
      </c>
      <c r="J458">
        <v>299</v>
      </c>
      <c r="K458">
        <v>299</v>
      </c>
      <c r="L458">
        <v>0</v>
      </c>
      <c r="M458" t="s">
        <v>38</v>
      </c>
      <c r="N458" t="s">
        <v>61</v>
      </c>
      <c r="O458" t="s">
        <v>39</v>
      </c>
      <c r="P458" t="s">
        <v>32</v>
      </c>
    </row>
    <row r="459" spans="1:16" x14ac:dyDescent="0.25">
      <c r="A459" t="s">
        <v>649</v>
      </c>
      <c r="B459" s="3">
        <v>45840</v>
      </c>
      <c r="C459" t="s">
        <v>294</v>
      </c>
      <c r="D459" t="s">
        <v>35</v>
      </c>
      <c r="E459">
        <v>30</v>
      </c>
      <c r="F459" t="s">
        <v>19</v>
      </c>
      <c r="G459" t="s">
        <v>68</v>
      </c>
      <c r="H459" t="s">
        <v>94</v>
      </c>
      <c r="I459">
        <v>4</v>
      </c>
      <c r="J459">
        <v>1499</v>
      </c>
      <c r="K459">
        <v>5996</v>
      </c>
      <c r="L459">
        <v>15</v>
      </c>
      <c r="M459" t="s">
        <v>85</v>
      </c>
      <c r="N459" t="s">
        <v>47</v>
      </c>
      <c r="O459" t="s">
        <v>24</v>
      </c>
      <c r="P459" t="s">
        <v>62</v>
      </c>
    </row>
    <row r="460" spans="1:16" x14ac:dyDescent="0.25">
      <c r="A460" t="s">
        <v>650</v>
      </c>
      <c r="B460" s="3">
        <v>45987</v>
      </c>
      <c r="C460" t="s">
        <v>257</v>
      </c>
      <c r="D460" t="s">
        <v>35</v>
      </c>
      <c r="E460">
        <v>48</v>
      </c>
      <c r="F460" t="s">
        <v>76</v>
      </c>
      <c r="G460" t="s">
        <v>20</v>
      </c>
      <c r="H460" t="s">
        <v>120</v>
      </c>
      <c r="I460">
        <v>3</v>
      </c>
      <c r="J460">
        <v>1999</v>
      </c>
      <c r="K460">
        <v>5997</v>
      </c>
      <c r="L460">
        <v>5</v>
      </c>
      <c r="M460" t="s">
        <v>53</v>
      </c>
      <c r="N460" t="s">
        <v>31</v>
      </c>
      <c r="O460" t="s">
        <v>39</v>
      </c>
      <c r="P460" t="s">
        <v>157</v>
      </c>
    </row>
    <row r="461" spans="1:16" x14ac:dyDescent="0.25">
      <c r="A461" t="s">
        <v>651</v>
      </c>
      <c r="B461" s="3">
        <v>45907</v>
      </c>
      <c r="C461" t="s">
        <v>161</v>
      </c>
      <c r="D461" t="s">
        <v>18</v>
      </c>
      <c r="E461">
        <v>48</v>
      </c>
      <c r="F461" t="s">
        <v>19</v>
      </c>
      <c r="G461" t="s">
        <v>29</v>
      </c>
      <c r="H461" t="s">
        <v>64</v>
      </c>
      <c r="I461">
        <v>3</v>
      </c>
      <c r="J461">
        <v>999</v>
      </c>
      <c r="K461">
        <v>2997</v>
      </c>
      <c r="L461">
        <v>10</v>
      </c>
      <c r="M461" t="s">
        <v>22</v>
      </c>
      <c r="N461" t="s">
        <v>61</v>
      </c>
      <c r="O461" t="s">
        <v>24</v>
      </c>
      <c r="P461" t="s">
        <v>86</v>
      </c>
    </row>
    <row r="462" spans="1:16" x14ac:dyDescent="0.25">
      <c r="A462" t="s">
        <v>652</v>
      </c>
      <c r="B462" s="3">
        <v>45918</v>
      </c>
      <c r="C462" t="s">
        <v>75</v>
      </c>
      <c r="D462" t="s">
        <v>35</v>
      </c>
      <c r="E462">
        <v>24</v>
      </c>
      <c r="F462" t="s">
        <v>60</v>
      </c>
      <c r="G462" t="s">
        <v>44</v>
      </c>
      <c r="H462" t="s">
        <v>151</v>
      </c>
      <c r="I462">
        <v>5</v>
      </c>
      <c r="J462">
        <v>299</v>
      </c>
      <c r="K462">
        <v>1495</v>
      </c>
      <c r="L462">
        <v>20</v>
      </c>
      <c r="M462" t="s">
        <v>38</v>
      </c>
      <c r="N462" t="s">
        <v>31</v>
      </c>
      <c r="O462" t="s">
        <v>48</v>
      </c>
      <c r="P462" t="s">
        <v>62</v>
      </c>
    </row>
    <row r="463" spans="1:16" x14ac:dyDescent="0.25">
      <c r="A463" t="s">
        <v>653</v>
      </c>
      <c r="B463" s="3">
        <v>45975</v>
      </c>
      <c r="C463" t="s">
        <v>259</v>
      </c>
      <c r="D463" t="s">
        <v>18</v>
      </c>
      <c r="E463">
        <v>48</v>
      </c>
      <c r="F463" t="s">
        <v>28</v>
      </c>
      <c r="G463" t="s">
        <v>36</v>
      </c>
      <c r="H463" t="s">
        <v>133</v>
      </c>
      <c r="I463">
        <v>4</v>
      </c>
      <c r="J463">
        <v>399</v>
      </c>
      <c r="K463">
        <v>1596</v>
      </c>
      <c r="L463">
        <v>0</v>
      </c>
      <c r="M463" t="s">
        <v>46</v>
      </c>
      <c r="N463" t="s">
        <v>47</v>
      </c>
      <c r="O463" t="s">
        <v>48</v>
      </c>
      <c r="P463" t="s">
        <v>193</v>
      </c>
    </row>
    <row r="464" spans="1:16" x14ac:dyDescent="0.25">
      <c r="A464" t="s">
        <v>654</v>
      </c>
      <c r="B464" s="3">
        <v>45936</v>
      </c>
      <c r="C464" t="s">
        <v>153</v>
      </c>
      <c r="D464" t="s">
        <v>18</v>
      </c>
      <c r="E464">
        <v>29</v>
      </c>
      <c r="F464" t="s">
        <v>19</v>
      </c>
      <c r="G464" t="s">
        <v>36</v>
      </c>
      <c r="H464" t="s">
        <v>355</v>
      </c>
      <c r="I464">
        <v>5</v>
      </c>
      <c r="J464">
        <v>599</v>
      </c>
      <c r="K464">
        <v>2995</v>
      </c>
      <c r="L464">
        <v>20</v>
      </c>
      <c r="M464" t="s">
        <v>22</v>
      </c>
      <c r="N464" t="s">
        <v>23</v>
      </c>
      <c r="O464" t="s">
        <v>48</v>
      </c>
      <c r="P464" t="s">
        <v>40</v>
      </c>
    </row>
    <row r="465" spans="1:16" x14ac:dyDescent="0.25">
      <c r="A465" t="s">
        <v>655</v>
      </c>
      <c r="B465" s="3">
        <v>45885</v>
      </c>
      <c r="C465" t="s">
        <v>224</v>
      </c>
      <c r="D465" t="s">
        <v>35</v>
      </c>
      <c r="E465">
        <v>43</v>
      </c>
      <c r="F465" t="s">
        <v>19</v>
      </c>
      <c r="G465" t="s">
        <v>36</v>
      </c>
      <c r="H465" t="s">
        <v>37</v>
      </c>
      <c r="I465">
        <v>5</v>
      </c>
      <c r="J465">
        <v>249</v>
      </c>
      <c r="K465">
        <v>1245</v>
      </c>
      <c r="L465">
        <v>20</v>
      </c>
      <c r="M465" t="s">
        <v>38</v>
      </c>
      <c r="N465" t="s">
        <v>61</v>
      </c>
      <c r="O465" t="s">
        <v>39</v>
      </c>
      <c r="P465" t="s">
        <v>82</v>
      </c>
    </row>
    <row r="466" spans="1:16" x14ac:dyDescent="0.25">
      <c r="A466" t="s">
        <v>656</v>
      </c>
      <c r="B466" s="3">
        <v>45955</v>
      </c>
      <c r="C466" t="s">
        <v>72</v>
      </c>
      <c r="D466" t="s">
        <v>18</v>
      </c>
      <c r="E466">
        <v>27</v>
      </c>
      <c r="F466" t="s">
        <v>124</v>
      </c>
      <c r="G466" t="s">
        <v>20</v>
      </c>
      <c r="H466" t="s">
        <v>21</v>
      </c>
      <c r="I466">
        <v>2</v>
      </c>
      <c r="J466">
        <v>299</v>
      </c>
      <c r="K466">
        <v>598</v>
      </c>
      <c r="L466">
        <v>15</v>
      </c>
      <c r="M466" t="s">
        <v>85</v>
      </c>
      <c r="N466" t="s">
        <v>31</v>
      </c>
      <c r="O466" t="s">
        <v>39</v>
      </c>
      <c r="P466" t="s">
        <v>40</v>
      </c>
    </row>
    <row r="467" spans="1:16" x14ac:dyDescent="0.25">
      <c r="A467" t="s">
        <v>657</v>
      </c>
      <c r="B467" s="3">
        <v>46006</v>
      </c>
      <c r="C467" t="s">
        <v>304</v>
      </c>
      <c r="D467" t="s">
        <v>35</v>
      </c>
      <c r="E467">
        <v>54</v>
      </c>
      <c r="F467" t="s">
        <v>43</v>
      </c>
      <c r="G467" t="s">
        <v>68</v>
      </c>
      <c r="H467" t="s">
        <v>69</v>
      </c>
      <c r="I467">
        <v>2</v>
      </c>
      <c r="J467">
        <v>399</v>
      </c>
      <c r="K467">
        <v>798</v>
      </c>
      <c r="L467">
        <v>15</v>
      </c>
      <c r="M467" t="s">
        <v>46</v>
      </c>
      <c r="N467" t="s">
        <v>23</v>
      </c>
      <c r="O467" t="s">
        <v>48</v>
      </c>
      <c r="P467" t="s">
        <v>121</v>
      </c>
    </row>
    <row r="468" spans="1:16" x14ac:dyDescent="0.25">
      <c r="A468" t="s">
        <v>658</v>
      </c>
      <c r="B468" s="3">
        <v>45808</v>
      </c>
      <c r="C468" t="s">
        <v>105</v>
      </c>
      <c r="D468" t="s">
        <v>35</v>
      </c>
      <c r="E468">
        <v>53</v>
      </c>
      <c r="F468" t="s">
        <v>98</v>
      </c>
      <c r="G468" t="s">
        <v>68</v>
      </c>
      <c r="H468" t="s">
        <v>94</v>
      </c>
      <c r="I468">
        <v>4</v>
      </c>
      <c r="J468">
        <v>299</v>
      </c>
      <c r="K468">
        <v>1196</v>
      </c>
      <c r="L468">
        <v>0</v>
      </c>
      <c r="M468" t="s">
        <v>85</v>
      </c>
      <c r="N468" t="s">
        <v>31</v>
      </c>
      <c r="O468" t="s">
        <v>24</v>
      </c>
      <c r="P468" t="s">
        <v>86</v>
      </c>
    </row>
    <row r="469" spans="1:16" x14ac:dyDescent="0.25">
      <c r="A469" t="s">
        <v>659</v>
      </c>
      <c r="B469" s="3">
        <v>45960</v>
      </c>
      <c r="C469" t="s">
        <v>388</v>
      </c>
      <c r="D469" t="s">
        <v>35</v>
      </c>
      <c r="E469">
        <v>42</v>
      </c>
      <c r="F469" t="s">
        <v>28</v>
      </c>
      <c r="G469" t="s">
        <v>20</v>
      </c>
      <c r="H469" t="s">
        <v>52</v>
      </c>
      <c r="I469">
        <v>4</v>
      </c>
      <c r="J469">
        <v>2499</v>
      </c>
      <c r="K469">
        <v>9996</v>
      </c>
      <c r="L469">
        <v>15</v>
      </c>
      <c r="M469" t="s">
        <v>22</v>
      </c>
      <c r="N469" t="s">
        <v>47</v>
      </c>
      <c r="O469" t="s">
        <v>48</v>
      </c>
      <c r="P469" t="s">
        <v>32</v>
      </c>
    </row>
    <row r="470" spans="1:16" x14ac:dyDescent="0.25">
      <c r="A470" t="s">
        <v>660</v>
      </c>
      <c r="B470" s="3">
        <v>45854</v>
      </c>
      <c r="C470" t="s">
        <v>342</v>
      </c>
      <c r="D470" t="s">
        <v>35</v>
      </c>
      <c r="E470">
        <v>27</v>
      </c>
      <c r="F470" t="s">
        <v>43</v>
      </c>
      <c r="G470" t="s">
        <v>36</v>
      </c>
      <c r="H470" t="s">
        <v>102</v>
      </c>
      <c r="I470">
        <v>2</v>
      </c>
      <c r="J470">
        <v>1299</v>
      </c>
      <c r="K470">
        <v>2598</v>
      </c>
      <c r="L470">
        <v>5</v>
      </c>
      <c r="M470" t="s">
        <v>53</v>
      </c>
      <c r="N470" t="s">
        <v>23</v>
      </c>
      <c r="O470" t="s">
        <v>24</v>
      </c>
      <c r="P470" t="s">
        <v>121</v>
      </c>
    </row>
    <row r="471" spans="1:16" x14ac:dyDescent="0.25">
      <c r="A471" t="s">
        <v>661</v>
      </c>
      <c r="B471" s="3">
        <v>45701</v>
      </c>
      <c r="C471" t="s">
        <v>17</v>
      </c>
      <c r="D471" t="s">
        <v>35</v>
      </c>
      <c r="E471">
        <v>47</v>
      </c>
      <c r="F471" t="s">
        <v>28</v>
      </c>
      <c r="G471" t="s">
        <v>29</v>
      </c>
      <c r="H471" t="s">
        <v>140</v>
      </c>
      <c r="I471">
        <v>4</v>
      </c>
      <c r="J471">
        <v>299</v>
      </c>
      <c r="K471">
        <v>1196</v>
      </c>
      <c r="L471">
        <v>20</v>
      </c>
      <c r="M471" t="s">
        <v>53</v>
      </c>
      <c r="N471" t="s">
        <v>61</v>
      </c>
      <c r="O471" t="s">
        <v>48</v>
      </c>
      <c r="P471" t="s">
        <v>134</v>
      </c>
    </row>
    <row r="472" spans="1:16" x14ac:dyDescent="0.25">
      <c r="A472" t="s">
        <v>662</v>
      </c>
      <c r="B472" s="3">
        <v>45773</v>
      </c>
      <c r="C472" t="s">
        <v>452</v>
      </c>
      <c r="D472" t="s">
        <v>35</v>
      </c>
      <c r="E472">
        <v>56</v>
      </c>
      <c r="F472" t="s">
        <v>98</v>
      </c>
      <c r="G472" t="s">
        <v>68</v>
      </c>
      <c r="H472" t="s">
        <v>69</v>
      </c>
      <c r="I472">
        <v>4</v>
      </c>
      <c r="J472">
        <v>599</v>
      </c>
      <c r="K472">
        <v>2396</v>
      </c>
      <c r="L472">
        <v>20</v>
      </c>
      <c r="M472" t="s">
        <v>22</v>
      </c>
      <c r="N472" t="s">
        <v>47</v>
      </c>
      <c r="O472" t="s">
        <v>48</v>
      </c>
      <c r="P472" t="s">
        <v>78</v>
      </c>
    </row>
    <row r="473" spans="1:16" x14ac:dyDescent="0.25">
      <c r="A473" t="s">
        <v>663</v>
      </c>
      <c r="B473" s="3">
        <v>45845</v>
      </c>
      <c r="C473" t="s">
        <v>91</v>
      </c>
      <c r="D473" t="s">
        <v>18</v>
      </c>
      <c r="E473">
        <v>54</v>
      </c>
      <c r="F473" t="s">
        <v>51</v>
      </c>
      <c r="G473" t="s">
        <v>44</v>
      </c>
      <c r="H473" t="s">
        <v>99</v>
      </c>
      <c r="I473">
        <v>5</v>
      </c>
      <c r="J473">
        <v>1499</v>
      </c>
      <c r="K473">
        <v>7495</v>
      </c>
      <c r="L473">
        <v>10</v>
      </c>
      <c r="M473" t="s">
        <v>38</v>
      </c>
      <c r="N473" t="s">
        <v>61</v>
      </c>
      <c r="O473" t="s">
        <v>48</v>
      </c>
      <c r="P473" t="s">
        <v>25</v>
      </c>
    </row>
    <row r="474" spans="1:16" x14ac:dyDescent="0.25">
      <c r="A474" t="s">
        <v>664</v>
      </c>
      <c r="B474" s="3">
        <v>45922</v>
      </c>
      <c r="C474" t="s">
        <v>272</v>
      </c>
      <c r="D474" t="s">
        <v>18</v>
      </c>
      <c r="E474">
        <v>33</v>
      </c>
      <c r="F474" t="s">
        <v>51</v>
      </c>
      <c r="G474" t="s">
        <v>29</v>
      </c>
      <c r="H474" t="s">
        <v>200</v>
      </c>
      <c r="I474">
        <v>3</v>
      </c>
      <c r="J474">
        <v>999</v>
      </c>
      <c r="K474">
        <v>2997</v>
      </c>
      <c r="L474">
        <v>0</v>
      </c>
      <c r="M474" t="s">
        <v>85</v>
      </c>
      <c r="N474" t="s">
        <v>31</v>
      </c>
      <c r="O474" t="s">
        <v>48</v>
      </c>
      <c r="P474" t="s">
        <v>117</v>
      </c>
    </row>
    <row r="475" spans="1:16" x14ac:dyDescent="0.25">
      <c r="A475" t="s">
        <v>665</v>
      </c>
      <c r="B475" s="3">
        <v>45890</v>
      </c>
      <c r="C475" t="s">
        <v>205</v>
      </c>
      <c r="D475" t="s">
        <v>35</v>
      </c>
      <c r="E475">
        <v>54</v>
      </c>
      <c r="F475" t="s">
        <v>60</v>
      </c>
      <c r="G475" t="s">
        <v>44</v>
      </c>
      <c r="H475" t="s">
        <v>151</v>
      </c>
      <c r="I475">
        <v>1</v>
      </c>
      <c r="J475">
        <v>999</v>
      </c>
      <c r="K475">
        <v>999</v>
      </c>
      <c r="L475">
        <v>15</v>
      </c>
      <c r="M475" t="s">
        <v>46</v>
      </c>
      <c r="N475" t="s">
        <v>31</v>
      </c>
      <c r="O475" t="s">
        <v>39</v>
      </c>
      <c r="P475" t="s">
        <v>32</v>
      </c>
    </row>
    <row r="476" spans="1:16" x14ac:dyDescent="0.25">
      <c r="A476" t="s">
        <v>666</v>
      </c>
      <c r="B476" s="3">
        <v>45946</v>
      </c>
      <c r="C476" t="s">
        <v>315</v>
      </c>
      <c r="D476" t="s">
        <v>18</v>
      </c>
      <c r="E476">
        <v>58</v>
      </c>
      <c r="F476" t="s">
        <v>51</v>
      </c>
      <c r="G476" t="s">
        <v>20</v>
      </c>
      <c r="H476" t="s">
        <v>81</v>
      </c>
      <c r="I476">
        <v>3</v>
      </c>
      <c r="J476">
        <v>2499</v>
      </c>
      <c r="K476">
        <v>7497</v>
      </c>
      <c r="L476">
        <v>20</v>
      </c>
      <c r="M476" t="s">
        <v>53</v>
      </c>
      <c r="N476" t="s">
        <v>23</v>
      </c>
      <c r="O476" t="s">
        <v>48</v>
      </c>
      <c r="P476" t="s">
        <v>86</v>
      </c>
    </row>
    <row r="477" spans="1:16" x14ac:dyDescent="0.25">
      <c r="A477" t="s">
        <v>667</v>
      </c>
      <c r="B477" s="3">
        <v>45700</v>
      </c>
      <c r="C477" t="s">
        <v>237</v>
      </c>
      <c r="D477" t="s">
        <v>18</v>
      </c>
      <c r="E477">
        <v>35</v>
      </c>
      <c r="F477" t="s">
        <v>43</v>
      </c>
      <c r="G477" t="s">
        <v>68</v>
      </c>
      <c r="H477" t="s">
        <v>73</v>
      </c>
      <c r="I477">
        <v>3</v>
      </c>
      <c r="J477">
        <v>999</v>
      </c>
      <c r="K477">
        <v>2997</v>
      </c>
      <c r="L477">
        <v>5</v>
      </c>
      <c r="M477" t="s">
        <v>85</v>
      </c>
      <c r="N477" t="s">
        <v>31</v>
      </c>
      <c r="O477" t="s">
        <v>39</v>
      </c>
      <c r="P477" t="s">
        <v>70</v>
      </c>
    </row>
    <row r="478" spans="1:16" x14ac:dyDescent="0.25">
      <c r="A478" t="s">
        <v>668</v>
      </c>
      <c r="B478" s="3">
        <v>45960</v>
      </c>
      <c r="C478" t="s">
        <v>274</v>
      </c>
      <c r="D478" t="s">
        <v>18</v>
      </c>
      <c r="E478">
        <v>60</v>
      </c>
      <c r="F478" t="s">
        <v>51</v>
      </c>
      <c r="G478" t="s">
        <v>20</v>
      </c>
      <c r="H478" t="s">
        <v>21</v>
      </c>
      <c r="I478">
        <v>5</v>
      </c>
      <c r="J478">
        <v>299</v>
      </c>
      <c r="K478">
        <v>1495</v>
      </c>
      <c r="L478">
        <v>10</v>
      </c>
      <c r="M478" t="s">
        <v>53</v>
      </c>
      <c r="N478" t="s">
        <v>31</v>
      </c>
      <c r="O478" t="s">
        <v>48</v>
      </c>
      <c r="P478" t="s">
        <v>89</v>
      </c>
    </row>
    <row r="479" spans="1:16" x14ac:dyDescent="0.25">
      <c r="A479" t="s">
        <v>669</v>
      </c>
      <c r="B479" s="3">
        <v>45833</v>
      </c>
      <c r="C479" t="s">
        <v>272</v>
      </c>
      <c r="D479" t="s">
        <v>18</v>
      </c>
      <c r="E479">
        <v>56</v>
      </c>
      <c r="F479" t="s">
        <v>124</v>
      </c>
      <c r="G479" t="s">
        <v>36</v>
      </c>
      <c r="H479" t="s">
        <v>102</v>
      </c>
      <c r="I479">
        <v>5</v>
      </c>
      <c r="J479">
        <v>199</v>
      </c>
      <c r="K479">
        <v>995</v>
      </c>
      <c r="L479">
        <v>15</v>
      </c>
      <c r="M479" t="s">
        <v>22</v>
      </c>
      <c r="N479" t="s">
        <v>61</v>
      </c>
      <c r="O479" t="s">
        <v>24</v>
      </c>
      <c r="P479" t="s">
        <v>62</v>
      </c>
    </row>
    <row r="480" spans="1:16" x14ac:dyDescent="0.25">
      <c r="A480" t="s">
        <v>670</v>
      </c>
      <c r="B480" s="3">
        <v>45834</v>
      </c>
      <c r="C480" t="s">
        <v>250</v>
      </c>
      <c r="D480" t="s">
        <v>35</v>
      </c>
      <c r="E480">
        <v>25</v>
      </c>
      <c r="F480" t="s">
        <v>98</v>
      </c>
      <c r="G480" t="s">
        <v>29</v>
      </c>
      <c r="H480" t="s">
        <v>30</v>
      </c>
      <c r="I480">
        <v>5</v>
      </c>
      <c r="J480">
        <v>2499</v>
      </c>
      <c r="K480">
        <v>12495</v>
      </c>
      <c r="L480">
        <v>5</v>
      </c>
      <c r="M480" t="s">
        <v>22</v>
      </c>
      <c r="N480" t="s">
        <v>61</v>
      </c>
      <c r="O480" t="s">
        <v>39</v>
      </c>
      <c r="P480" t="s">
        <v>86</v>
      </c>
    </row>
    <row r="481" spans="1:16" x14ac:dyDescent="0.25">
      <c r="A481" t="s">
        <v>671</v>
      </c>
      <c r="B481" s="3">
        <v>46007</v>
      </c>
      <c r="C481" t="s">
        <v>257</v>
      </c>
      <c r="D481" t="s">
        <v>35</v>
      </c>
      <c r="E481">
        <v>48</v>
      </c>
      <c r="F481" t="s">
        <v>43</v>
      </c>
      <c r="G481" t="s">
        <v>36</v>
      </c>
      <c r="H481" t="s">
        <v>133</v>
      </c>
      <c r="I481">
        <v>2</v>
      </c>
      <c r="J481">
        <v>799</v>
      </c>
      <c r="K481">
        <v>1598</v>
      </c>
      <c r="L481">
        <v>5</v>
      </c>
      <c r="M481" t="s">
        <v>85</v>
      </c>
      <c r="N481" t="s">
        <v>61</v>
      </c>
      <c r="O481" t="s">
        <v>24</v>
      </c>
      <c r="P481" t="s">
        <v>86</v>
      </c>
    </row>
    <row r="482" spans="1:16" x14ac:dyDescent="0.25">
      <c r="A482" t="s">
        <v>672</v>
      </c>
      <c r="B482" s="3">
        <v>46007</v>
      </c>
      <c r="C482" t="s">
        <v>192</v>
      </c>
      <c r="D482" t="s">
        <v>18</v>
      </c>
      <c r="E482">
        <v>52</v>
      </c>
      <c r="F482" t="s">
        <v>60</v>
      </c>
      <c r="G482" t="s">
        <v>36</v>
      </c>
      <c r="H482" t="s">
        <v>355</v>
      </c>
      <c r="I482">
        <v>3</v>
      </c>
      <c r="J482">
        <v>1299</v>
      </c>
      <c r="K482">
        <v>3897</v>
      </c>
      <c r="L482">
        <v>15</v>
      </c>
      <c r="M482" t="s">
        <v>85</v>
      </c>
      <c r="N482" t="s">
        <v>31</v>
      </c>
      <c r="O482" t="s">
        <v>39</v>
      </c>
      <c r="P482" t="s">
        <v>70</v>
      </c>
    </row>
    <row r="483" spans="1:16" x14ac:dyDescent="0.25">
      <c r="A483" t="s">
        <v>673</v>
      </c>
      <c r="B483" s="3">
        <v>45957</v>
      </c>
      <c r="C483" t="s">
        <v>388</v>
      </c>
      <c r="D483" t="s">
        <v>35</v>
      </c>
      <c r="E483">
        <v>33</v>
      </c>
      <c r="F483" t="s">
        <v>76</v>
      </c>
      <c r="G483" t="s">
        <v>44</v>
      </c>
      <c r="H483" t="s">
        <v>45</v>
      </c>
      <c r="I483">
        <v>3</v>
      </c>
      <c r="J483">
        <v>1999</v>
      </c>
      <c r="K483">
        <v>5997</v>
      </c>
      <c r="L483">
        <v>20</v>
      </c>
      <c r="M483" t="s">
        <v>46</v>
      </c>
      <c r="N483" t="s">
        <v>47</v>
      </c>
      <c r="O483" t="s">
        <v>39</v>
      </c>
      <c r="P483" t="s">
        <v>103</v>
      </c>
    </row>
    <row r="484" spans="1:16" x14ac:dyDescent="0.25">
      <c r="A484" t="s">
        <v>674</v>
      </c>
      <c r="B484" s="3">
        <v>45868</v>
      </c>
      <c r="C484" t="s">
        <v>50</v>
      </c>
      <c r="D484" t="s">
        <v>18</v>
      </c>
      <c r="E484">
        <v>46</v>
      </c>
      <c r="F484" t="s">
        <v>60</v>
      </c>
      <c r="G484" t="s">
        <v>20</v>
      </c>
      <c r="H484" t="s">
        <v>21</v>
      </c>
      <c r="I484">
        <v>1</v>
      </c>
      <c r="J484">
        <v>199</v>
      </c>
      <c r="K484">
        <v>199</v>
      </c>
      <c r="L484">
        <v>5</v>
      </c>
      <c r="M484" t="s">
        <v>46</v>
      </c>
      <c r="N484" t="s">
        <v>31</v>
      </c>
      <c r="O484" t="s">
        <v>24</v>
      </c>
      <c r="P484" t="s">
        <v>117</v>
      </c>
    </row>
    <row r="485" spans="1:16" x14ac:dyDescent="0.25">
      <c r="A485" t="s">
        <v>675</v>
      </c>
      <c r="B485" s="3">
        <v>45962</v>
      </c>
      <c r="C485" t="s">
        <v>188</v>
      </c>
      <c r="D485" t="s">
        <v>18</v>
      </c>
      <c r="E485">
        <v>56</v>
      </c>
      <c r="F485" t="s">
        <v>19</v>
      </c>
      <c r="G485" t="s">
        <v>20</v>
      </c>
      <c r="H485" t="s">
        <v>81</v>
      </c>
      <c r="I485">
        <v>1</v>
      </c>
      <c r="J485">
        <v>199</v>
      </c>
      <c r="K485">
        <v>199</v>
      </c>
      <c r="L485">
        <v>0</v>
      </c>
      <c r="M485" t="s">
        <v>38</v>
      </c>
      <c r="N485" t="s">
        <v>47</v>
      </c>
      <c r="O485" t="s">
        <v>39</v>
      </c>
      <c r="P485" t="s">
        <v>193</v>
      </c>
    </row>
    <row r="486" spans="1:16" x14ac:dyDescent="0.25">
      <c r="A486" t="s">
        <v>676</v>
      </c>
      <c r="B486" s="3">
        <v>45808</v>
      </c>
      <c r="C486" t="s">
        <v>677</v>
      </c>
      <c r="D486" t="s">
        <v>18</v>
      </c>
      <c r="E486">
        <v>58</v>
      </c>
      <c r="F486" t="s">
        <v>51</v>
      </c>
      <c r="G486" t="s">
        <v>29</v>
      </c>
      <c r="H486" t="s">
        <v>108</v>
      </c>
      <c r="I486">
        <v>2</v>
      </c>
      <c r="J486">
        <v>499</v>
      </c>
      <c r="K486">
        <v>998</v>
      </c>
      <c r="L486">
        <v>10</v>
      </c>
      <c r="M486" t="s">
        <v>22</v>
      </c>
      <c r="N486" t="s">
        <v>31</v>
      </c>
      <c r="O486" t="s">
        <v>39</v>
      </c>
      <c r="P486" t="s">
        <v>32</v>
      </c>
    </row>
    <row r="487" spans="1:16" x14ac:dyDescent="0.25">
      <c r="A487" t="s">
        <v>678</v>
      </c>
      <c r="B487" s="3">
        <v>45856</v>
      </c>
      <c r="C487" t="s">
        <v>119</v>
      </c>
      <c r="D487" t="s">
        <v>18</v>
      </c>
      <c r="E487">
        <v>34</v>
      </c>
      <c r="F487" t="s">
        <v>43</v>
      </c>
      <c r="G487" t="s">
        <v>20</v>
      </c>
      <c r="H487" t="s">
        <v>77</v>
      </c>
      <c r="I487">
        <v>1</v>
      </c>
      <c r="J487">
        <v>799</v>
      </c>
      <c r="K487">
        <v>799</v>
      </c>
      <c r="L487">
        <v>5</v>
      </c>
      <c r="M487" t="s">
        <v>22</v>
      </c>
      <c r="N487" t="s">
        <v>23</v>
      </c>
      <c r="O487" t="s">
        <v>39</v>
      </c>
      <c r="P487" t="s">
        <v>54</v>
      </c>
    </row>
    <row r="488" spans="1:16" x14ac:dyDescent="0.25">
      <c r="A488" t="s">
        <v>679</v>
      </c>
      <c r="B488" s="3">
        <v>45909</v>
      </c>
      <c r="C488" t="s">
        <v>75</v>
      </c>
      <c r="D488" t="s">
        <v>18</v>
      </c>
      <c r="E488">
        <v>52</v>
      </c>
      <c r="F488" t="s">
        <v>28</v>
      </c>
      <c r="G488" t="s">
        <v>68</v>
      </c>
      <c r="H488" t="s">
        <v>69</v>
      </c>
      <c r="I488">
        <v>2</v>
      </c>
      <c r="J488">
        <v>1999</v>
      </c>
      <c r="K488">
        <v>3998</v>
      </c>
      <c r="L488">
        <v>5</v>
      </c>
      <c r="M488" t="s">
        <v>85</v>
      </c>
      <c r="N488" t="s">
        <v>23</v>
      </c>
      <c r="O488" t="s">
        <v>39</v>
      </c>
      <c r="P488" t="s">
        <v>70</v>
      </c>
    </row>
    <row r="489" spans="1:16" x14ac:dyDescent="0.25">
      <c r="A489" t="s">
        <v>680</v>
      </c>
      <c r="B489" s="3">
        <v>45950</v>
      </c>
      <c r="C489" t="s">
        <v>495</v>
      </c>
      <c r="D489" t="s">
        <v>35</v>
      </c>
      <c r="E489">
        <v>46</v>
      </c>
      <c r="F489" t="s">
        <v>98</v>
      </c>
      <c r="G489" t="s">
        <v>20</v>
      </c>
      <c r="H489" t="s">
        <v>21</v>
      </c>
      <c r="I489">
        <v>1</v>
      </c>
      <c r="J489">
        <v>249</v>
      </c>
      <c r="K489">
        <v>249</v>
      </c>
      <c r="L489">
        <v>15</v>
      </c>
      <c r="M489" t="s">
        <v>53</v>
      </c>
      <c r="N489" t="s">
        <v>23</v>
      </c>
      <c r="O489" t="s">
        <v>24</v>
      </c>
      <c r="P489" t="s">
        <v>157</v>
      </c>
    </row>
    <row r="490" spans="1:16" x14ac:dyDescent="0.25">
      <c r="A490" t="s">
        <v>681</v>
      </c>
      <c r="B490" s="3">
        <v>45952</v>
      </c>
      <c r="C490" t="s">
        <v>432</v>
      </c>
      <c r="D490" t="s">
        <v>35</v>
      </c>
      <c r="E490">
        <v>48</v>
      </c>
      <c r="F490" t="s">
        <v>28</v>
      </c>
      <c r="G490" t="s">
        <v>44</v>
      </c>
      <c r="H490" t="s">
        <v>235</v>
      </c>
      <c r="I490">
        <v>3</v>
      </c>
      <c r="J490">
        <v>799</v>
      </c>
      <c r="K490">
        <v>2397</v>
      </c>
      <c r="L490">
        <v>15</v>
      </c>
      <c r="M490" t="s">
        <v>38</v>
      </c>
      <c r="N490" t="s">
        <v>47</v>
      </c>
      <c r="O490" t="s">
        <v>24</v>
      </c>
      <c r="P490" t="s">
        <v>157</v>
      </c>
    </row>
    <row r="491" spans="1:16" x14ac:dyDescent="0.25">
      <c r="A491" t="s">
        <v>682</v>
      </c>
      <c r="B491" s="3">
        <v>45841</v>
      </c>
      <c r="C491" t="s">
        <v>119</v>
      </c>
      <c r="D491" t="s">
        <v>35</v>
      </c>
      <c r="E491">
        <v>43</v>
      </c>
      <c r="F491" t="s">
        <v>98</v>
      </c>
      <c r="G491" t="s">
        <v>36</v>
      </c>
      <c r="H491" t="s">
        <v>156</v>
      </c>
      <c r="I491">
        <v>5</v>
      </c>
      <c r="J491">
        <v>1299</v>
      </c>
      <c r="K491">
        <v>6495</v>
      </c>
      <c r="L491">
        <v>0</v>
      </c>
      <c r="M491" t="s">
        <v>46</v>
      </c>
      <c r="N491" t="s">
        <v>31</v>
      </c>
      <c r="O491" t="s">
        <v>24</v>
      </c>
      <c r="P491" t="s">
        <v>62</v>
      </c>
    </row>
    <row r="492" spans="1:16" x14ac:dyDescent="0.25">
      <c r="A492" t="s">
        <v>683</v>
      </c>
      <c r="B492" s="3">
        <v>45678</v>
      </c>
      <c r="C492" t="s">
        <v>283</v>
      </c>
      <c r="D492" t="s">
        <v>18</v>
      </c>
      <c r="E492">
        <v>37</v>
      </c>
      <c r="F492" t="s">
        <v>28</v>
      </c>
      <c r="G492" t="s">
        <v>44</v>
      </c>
      <c r="H492" t="s">
        <v>235</v>
      </c>
      <c r="I492">
        <v>2</v>
      </c>
      <c r="J492">
        <v>1299</v>
      </c>
      <c r="K492">
        <v>2598</v>
      </c>
      <c r="L492">
        <v>0</v>
      </c>
      <c r="M492" t="s">
        <v>46</v>
      </c>
      <c r="N492" t="s">
        <v>61</v>
      </c>
      <c r="O492" t="s">
        <v>24</v>
      </c>
      <c r="P492" t="s">
        <v>62</v>
      </c>
    </row>
    <row r="493" spans="1:16" x14ac:dyDescent="0.25">
      <c r="A493" t="s">
        <v>684</v>
      </c>
      <c r="B493" s="3">
        <v>45670</v>
      </c>
      <c r="C493" t="s">
        <v>147</v>
      </c>
      <c r="D493" t="s">
        <v>18</v>
      </c>
      <c r="E493">
        <v>49</v>
      </c>
      <c r="F493" t="s">
        <v>28</v>
      </c>
      <c r="G493" t="s">
        <v>29</v>
      </c>
      <c r="H493" t="s">
        <v>30</v>
      </c>
      <c r="I493">
        <v>1</v>
      </c>
      <c r="J493">
        <v>399</v>
      </c>
      <c r="K493">
        <v>399</v>
      </c>
      <c r="L493">
        <v>0</v>
      </c>
      <c r="M493" t="s">
        <v>85</v>
      </c>
      <c r="N493" t="s">
        <v>31</v>
      </c>
      <c r="O493" t="s">
        <v>39</v>
      </c>
      <c r="P493" t="s">
        <v>103</v>
      </c>
    </row>
    <row r="494" spans="1:16" x14ac:dyDescent="0.25">
      <c r="A494" t="s">
        <v>685</v>
      </c>
      <c r="B494" s="3">
        <v>45686</v>
      </c>
      <c r="C494" t="s">
        <v>213</v>
      </c>
      <c r="D494" t="s">
        <v>18</v>
      </c>
      <c r="E494">
        <v>43</v>
      </c>
      <c r="F494" t="s">
        <v>19</v>
      </c>
      <c r="G494" t="s">
        <v>36</v>
      </c>
      <c r="H494" t="s">
        <v>156</v>
      </c>
      <c r="I494">
        <v>1</v>
      </c>
      <c r="J494">
        <v>599</v>
      </c>
      <c r="K494">
        <v>599</v>
      </c>
      <c r="L494">
        <v>5</v>
      </c>
      <c r="M494" t="s">
        <v>85</v>
      </c>
      <c r="N494" t="s">
        <v>61</v>
      </c>
      <c r="O494" t="s">
        <v>48</v>
      </c>
      <c r="P494" t="s">
        <v>103</v>
      </c>
    </row>
    <row r="495" spans="1:16" x14ac:dyDescent="0.25">
      <c r="A495" t="s">
        <v>686</v>
      </c>
      <c r="B495" s="3">
        <v>45676</v>
      </c>
      <c r="C495" t="s">
        <v>274</v>
      </c>
      <c r="D495" t="s">
        <v>18</v>
      </c>
      <c r="E495">
        <v>49</v>
      </c>
      <c r="F495" t="s">
        <v>98</v>
      </c>
      <c r="G495" t="s">
        <v>29</v>
      </c>
      <c r="H495" t="s">
        <v>200</v>
      </c>
      <c r="I495">
        <v>2</v>
      </c>
      <c r="J495">
        <v>249</v>
      </c>
      <c r="K495">
        <v>498</v>
      </c>
      <c r="L495">
        <v>15</v>
      </c>
      <c r="M495" t="s">
        <v>85</v>
      </c>
      <c r="N495" t="s">
        <v>23</v>
      </c>
      <c r="O495" t="s">
        <v>24</v>
      </c>
      <c r="P495" t="s">
        <v>65</v>
      </c>
    </row>
    <row r="496" spans="1:16" x14ac:dyDescent="0.25">
      <c r="A496" t="s">
        <v>687</v>
      </c>
      <c r="B496" s="3">
        <v>45707</v>
      </c>
      <c r="C496" t="s">
        <v>112</v>
      </c>
      <c r="D496" t="s">
        <v>18</v>
      </c>
      <c r="E496">
        <v>55</v>
      </c>
      <c r="F496" t="s">
        <v>19</v>
      </c>
      <c r="G496" t="s">
        <v>20</v>
      </c>
      <c r="H496" t="s">
        <v>52</v>
      </c>
      <c r="I496">
        <v>1</v>
      </c>
      <c r="J496">
        <v>499</v>
      </c>
      <c r="K496">
        <v>499</v>
      </c>
      <c r="L496">
        <v>0</v>
      </c>
      <c r="M496" t="s">
        <v>38</v>
      </c>
      <c r="N496" t="s">
        <v>61</v>
      </c>
      <c r="O496" t="s">
        <v>48</v>
      </c>
      <c r="P496" t="s">
        <v>40</v>
      </c>
    </row>
    <row r="497" spans="1:16" x14ac:dyDescent="0.25">
      <c r="A497" t="s">
        <v>688</v>
      </c>
      <c r="B497" s="3">
        <v>45830</v>
      </c>
      <c r="C497" t="s">
        <v>274</v>
      </c>
      <c r="D497" t="s">
        <v>35</v>
      </c>
      <c r="E497">
        <v>38</v>
      </c>
      <c r="F497" t="s">
        <v>19</v>
      </c>
      <c r="G497" t="s">
        <v>29</v>
      </c>
      <c r="H497" t="s">
        <v>108</v>
      </c>
      <c r="I497">
        <v>2</v>
      </c>
      <c r="J497">
        <v>799</v>
      </c>
      <c r="K497">
        <v>1598</v>
      </c>
      <c r="L497">
        <v>20</v>
      </c>
      <c r="M497" t="s">
        <v>85</v>
      </c>
      <c r="N497" t="s">
        <v>47</v>
      </c>
      <c r="O497" t="s">
        <v>39</v>
      </c>
      <c r="P497" t="s">
        <v>54</v>
      </c>
    </row>
    <row r="498" spans="1:16" x14ac:dyDescent="0.25">
      <c r="A498" t="s">
        <v>689</v>
      </c>
      <c r="B498" s="3">
        <v>45690</v>
      </c>
      <c r="C498" t="s">
        <v>88</v>
      </c>
      <c r="D498" t="s">
        <v>35</v>
      </c>
      <c r="E498">
        <v>27</v>
      </c>
      <c r="F498" t="s">
        <v>28</v>
      </c>
      <c r="G498" t="s">
        <v>20</v>
      </c>
      <c r="H498" t="s">
        <v>81</v>
      </c>
      <c r="I498">
        <v>2</v>
      </c>
      <c r="J498">
        <v>599</v>
      </c>
      <c r="K498">
        <v>1198</v>
      </c>
      <c r="L498">
        <v>5</v>
      </c>
      <c r="M498" t="s">
        <v>46</v>
      </c>
      <c r="N498" t="s">
        <v>47</v>
      </c>
      <c r="O498" t="s">
        <v>39</v>
      </c>
      <c r="P498" t="s">
        <v>89</v>
      </c>
    </row>
    <row r="499" spans="1:16" x14ac:dyDescent="0.25">
      <c r="A499" t="s">
        <v>690</v>
      </c>
      <c r="B499" s="3">
        <v>45981</v>
      </c>
      <c r="C499" t="s">
        <v>239</v>
      </c>
      <c r="D499" t="s">
        <v>35</v>
      </c>
      <c r="E499">
        <v>28</v>
      </c>
      <c r="F499" t="s">
        <v>98</v>
      </c>
      <c r="G499" t="s">
        <v>68</v>
      </c>
      <c r="H499" t="s">
        <v>73</v>
      </c>
      <c r="I499">
        <v>2</v>
      </c>
      <c r="J499">
        <v>249</v>
      </c>
      <c r="K499">
        <v>498</v>
      </c>
      <c r="L499">
        <v>15</v>
      </c>
      <c r="M499" t="s">
        <v>38</v>
      </c>
      <c r="N499" t="s">
        <v>23</v>
      </c>
      <c r="O499" t="s">
        <v>24</v>
      </c>
      <c r="P499" t="s">
        <v>32</v>
      </c>
    </row>
    <row r="500" spans="1:16" x14ac:dyDescent="0.25">
      <c r="A500" t="s">
        <v>691</v>
      </c>
      <c r="B500" s="3">
        <v>46013</v>
      </c>
      <c r="C500" t="s">
        <v>155</v>
      </c>
      <c r="D500" t="s">
        <v>35</v>
      </c>
      <c r="E500">
        <v>26</v>
      </c>
      <c r="F500" t="s">
        <v>76</v>
      </c>
      <c r="G500" t="s">
        <v>20</v>
      </c>
      <c r="H500" t="s">
        <v>81</v>
      </c>
      <c r="I500">
        <v>3</v>
      </c>
      <c r="J500">
        <v>799</v>
      </c>
      <c r="K500">
        <v>2397</v>
      </c>
      <c r="L500">
        <v>5</v>
      </c>
      <c r="M500" t="s">
        <v>46</v>
      </c>
      <c r="N500" t="s">
        <v>61</v>
      </c>
      <c r="O500" t="s">
        <v>39</v>
      </c>
      <c r="P500" t="s">
        <v>89</v>
      </c>
    </row>
    <row r="501" spans="1:16" x14ac:dyDescent="0.25">
      <c r="A501" t="s">
        <v>692</v>
      </c>
      <c r="B501" s="3">
        <v>45750</v>
      </c>
      <c r="C501" t="s">
        <v>299</v>
      </c>
      <c r="D501" t="s">
        <v>35</v>
      </c>
      <c r="E501">
        <v>57</v>
      </c>
      <c r="F501" t="s">
        <v>19</v>
      </c>
      <c r="G501" t="s">
        <v>29</v>
      </c>
      <c r="H501" t="s">
        <v>200</v>
      </c>
      <c r="I501">
        <v>1</v>
      </c>
      <c r="J501">
        <v>1499</v>
      </c>
      <c r="K501">
        <v>1499</v>
      </c>
      <c r="L501">
        <v>10</v>
      </c>
      <c r="M501" t="s">
        <v>46</v>
      </c>
      <c r="N501" t="s">
        <v>61</v>
      </c>
      <c r="O501" t="s">
        <v>24</v>
      </c>
      <c r="P501" t="s">
        <v>103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D334-CDAD-4030-A8BB-22D6F819B7C1}">
  <dimension ref="A1:V504"/>
  <sheetViews>
    <sheetView tabSelected="1" zoomScale="83" workbookViewId="0">
      <selection activeCell="B11" sqref="B11"/>
    </sheetView>
  </sheetViews>
  <sheetFormatPr defaultRowHeight="15" x14ac:dyDescent="0.25"/>
  <cols>
    <col min="1" max="1" width="11.85546875" bestFit="1" customWidth="1"/>
    <col min="2" max="2" width="18.140625" bestFit="1" customWidth="1"/>
    <col min="3" max="3" width="14.140625" bestFit="1" customWidth="1"/>
    <col min="6" max="6" width="15.28515625" bestFit="1" customWidth="1"/>
    <col min="7" max="7" width="13.85546875" bestFit="1" customWidth="1"/>
    <col min="8" max="8" width="10.28515625" bestFit="1" customWidth="1"/>
    <col min="9" max="10" width="13" customWidth="1"/>
    <col min="11" max="11" width="13.85546875" customWidth="1"/>
    <col min="13" max="13" width="13.42578125" bestFit="1" customWidth="1"/>
    <col min="16" max="16" width="15.42578125" bestFit="1" customWidth="1"/>
    <col min="17" max="17" width="12.7109375" bestFit="1" customWidth="1"/>
    <col min="18" max="18" width="11.5703125" customWidth="1"/>
  </cols>
  <sheetData>
    <row r="1" spans="1:18" ht="15" customHeight="1" x14ac:dyDescent="0.25">
      <c r="A1" s="14" t="s">
        <v>712</v>
      </c>
      <c r="B1" s="14"/>
      <c r="C1" s="14"/>
      <c r="D1" s="14"/>
      <c r="E1" s="14"/>
      <c r="F1" s="14"/>
      <c r="G1" s="14"/>
      <c r="H1" s="14"/>
      <c r="J1" s="11" t="s">
        <v>711</v>
      </c>
      <c r="K1" s="12"/>
      <c r="M1" s="15" t="s">
        <v>713</v>
      </c>
      <c r="N1" s="15"/>
      <c r="P1" s="17" t="s">
        <v>714</v>
      </c>
      <c r="Q1" s="17"/>
      <c r="R1" s="17"/>
    </row>
    <row r="2" spans="1:18" x14ac:dyDescent="0.25">
      <c r="A2" s="14"/>
      <c r="B2" s="14"/>
      <c r="C2" s="14"/>
      <c r="D2" s="14"/>
      <c r="E2" s="14"/>
      <c r="F2" s="14"/>
      <c r="G2" s="14"/>
      <c r="H2" s="14"/>
      <c r="J2" s="12"/>
      <c r="K2" s="12"/>
      <c r="M2" s="15"/>
      <c r="N2" s="15"/>
      <c r="P2" s="17"/>
      <c r="Q2" s="17"/>
      <c r="R2" s="17"/>
    </row>
    <row r="3" spans="1:18" x14ac:dyDescent="0.25">
      <c r="A3" s="14"/>
      <c r="B3" s="14"/>
      <c r="C3" s="14"/>
      <c r="D3" s="14"/>
      <c r="E3" s="14"/>
      <c r="F3" s="14"/>
      <c r="G3" s="14"/>
      <c r="H3" s="14"/>
      <c r="J3" s="13"/>
      <c r="K3" s="13"/>
      <c r="M3" s="16"/>
      <c r="N3" s="16"/>
      <c r="P3" s="18"/>
      <c r="Q3" s="18"/>
      <c r="R3" s="18"/>
    </row>
    <row r="4" spans="1:18" x14ac:dyDescent="0.25">
      <c r="A4" s="7" t="s">
        <v>2</v>
      </c>
      <c r="B4" s="7" t="s">
        <v>694</v>
      </c>
      <c r="C4" s="7" t="s">
        <v>695</v>
      </c>
      <c r="F4" s="6" t="s">
        <v>7</v>
      </c>
      <c r="G4" s="7" t="s">
        <v>703</v>
      </c>
      <c r="H4" s="7" t="s">
        <v>704</v>
      </c>
      <c r="J4" s="7" t="s">
        <v>2</v>
      </c>
      <c r="K4" s="7" t="s">
        <v>708</v>
      </c>
      <c r="M4" s="7" t="s">
        <v>2</v>
      </c>
      <c r="N4" s="7" t="s">
        <v>709</v>
      </c>
      <c r="P4" s="7" t="s">
        <v>702</v>
      </c>
      <c r="Q4" s="8" t="s">
        <v>5</v>
      </c>
      <c r="R4" s="8" t="s">
        <v>710</v>
      </c>
    </row>
    <row r="5" spans="1:18" x14ac:dyDescent="0.25">
      <c r="A5" s="5" t="s">
        <v>17</v>
      </c>
      <c r="B5" s="5" t="str">
        <f>_xlfn.XLOOKUP(A5,Customer_Master!$A$2:$A$101,Customer_Master!$D$2:$D$101)</f>
        <v>Silver</v>
      </c>
      <c r="C5" s="5" t="str">
        <f>_xlfn.XLOOKUP(A5,Customer_Master!$A$2:$A$101,Customer_Master!$E$2:$E$101)</f>
        <v>Active</v>
      </c>
      <c r="F5" s="5" t="s">
        <v>21</v>
      </c>
      <c r="G5" s="5">
        <f>_xlfn.XLOOKUP(F5,Product_Master!$A$2:$A$26,Product_Master!$C$2:$C$26)</f>
        <v>1499</v>
      </c>
      <c r="H5" s="5" t="str">
        <f>_xlfn.XLOOKUP(F5,Product_Master!$A$2:$A$26,Product_Master!$D$2:$D$26)</f>
        <v>Low</v>
      </c>
      <c r="J5" s="5" t="s">
        <v>17</v>
      </c>
      <c r="K5" s="4" cm="1">
        <f t="array" ref="K5:K504">COUNTIF(Clean_sheet!C2:C501,client_formula_data!A5:A504)</f>
        <v>6</v>
      </c>
      <c r="M5" s="5" t="s">
        <v>17</v>
      </c>
      <c r="N5" s="4">
        <f>SUMIF(Clean_sheet!C2:C501,client_formula_data!M5,Clean_sheet!K2:K501)</f>
        <v>13778</v>
      </c>
      <c r="P5" s="4" t="str" cm="1">
        <f t="array" ref="P5:P9">_xlfn.UNIQUE(Clean_sheet!G2:G501,0)</f>
        <v>Electronics</v>
      </c>
      <c r="Q5" s="4" t="str" cm="1">
        <f t="array" ref="Q5:Q12">_xlfn.UNIQUE(Clean_sheet!F2:F501,0)</f>
        <v>Pune</v>
      </c>
      <c r="R5" s="4">
        <f>SUMIFS(Clean_sheet!$K$2:$K$501,Clean_sheet!$G$2:$G$501,client_formula_data!P5,Clean_sheet!$F$2:$F$501,client_formula_data!Q5)</f>
        <v>50459</v>
      </c>
    </row>
    <row r="6" spans="1:18" x14ac:dyDescent="0.25">
      <c r="A6" s="5" t="s">
        <v>27</v>
      </c>
      <c r="B6" s="5" t="str">
        <f>_xlfn.XLOOKUP(A6,Customer_Master!$A$2:$A$101,Customer_Master!$D$2:$D$101)</f>
        <v>Gold</v>
      </c>
      <c r="C6" s="5" t="str">
        <f>_xlfn.XLOOKUP(A6,Customer_Master!$A$2:$A$101,Customer_Master!$E$2:$E$101)</f>
        <v>Active</v>
      </c>
      <c r="F6" s="5" t="s">
        <v>30</v>
      </c>
      <c r="G6" s="5">
        <f>_xlfn.XLOOKUP(F6,Product_Master!$A$2:$A$26,Product_Master!$C$2:$C$26)</f>
        <v>799</v>
      </c>
      <c r="H6" s="5" t="str">
        <f>_xlfn.XLOOKUP(F6,Product_Master!$A$2:$A$26,Product_Master!$D$2:$D$26)</f>
        <v>High</v>
      </c>
      <c r="J6" s="5" t="s">
        <v>27</v>
      </c>
      <c r="K6" s="4">
        <v>5</v>
      </c>
      <c r="M6" s="5" t="s">
        <v>27</v>
      </c>
      <c r="N6" s="4">
        <f>SUMIF(Clean_sheet!C3:C502,client_formula_data!M6,Clean_sheet!K3:K502)</f>
        <v>23085</v>
      </c>
      <c r="P6" s="4" t="str">
        <v>Home &amp; Kitchen</v>
      </c>
      <c r="Q6" s="4" t="str">
        <v>Aurangabad</v>
      </c>
      <c r="R6" s="4">
        <f>SUMIFS(Clean_sheet!$K$2:$K$501,Clean_sheet!$G$2:$G$501,client_formula_data!P6,Clean_sheet!$F$2:$F$501,client_formula_data!Q6)</f>
        <v>45698</v>
      </c>
    </row>
    <row r="7" spans="1:18" x14ac:dyDescent="0.25">
      <c r="A7" s="5" t="s">
        <v>34</v>
      </c>
      <c r="B7" s="5" t="str">
        <f>_xlfn.XLOOKUP(A7,Customer_Master!$A$2:$A$101,Customer_Master!$D$2:$D$101)</f>
        <v>Platinum</v>
      </c>
      <c r="C7" s="5" t="str">
        <f>_xlfn.XLOOKUP(A7,Customer_Master!$A$2:$A$101,Customer_Master!$E$2:$E$101)</f>
        <v>Inactive</v>
      </c>
      <c r="F7" s="5" t="s">
        <v>37</v>
      </c>
      <c r="G7" s="5">
        <f>_xlfn.XLOOKUP(F7,Product_Master!$A$2:$A$26,Product_Master!$C$2:$C$26)</f>
        <v>1999</v>
      </c>
      <c r="H7" s="5" t="str">
        <f>_xlfn.XLOOKUP(F7,Product_Master!$A$2:$A$26,Product_Master!$D$2:$D$26)</f>
        <v>High</v>
      </c>
      <c r="J7" s="5" t="s">
        <v>34</v>
      </c>
      <c r="K7" s="4">
        <v>7</v>
      </c>
      <c r="M7" s="5" t="s">
        <v>34</v>
      </c>
      <c r="N7" s="4">
        <f>SUMIF(Clean_sheet!C4:C503,client_formula_data!M7,Clean_sheet!K4:K503)</f>
        <v>18176</v>
      </c>
      <c r="P7" s="4" t="str">
        <v>Beauty</v>
      </c>
      <c r="Q7" s="4" t="str">
        <v>Navi Mumbai</v>
      </c>
      <c r="R7" s="4">
        <f>SUMIFS(Clean_sheet!$K$2:$K$501,Clean_sheet!$G$2:$G$501,client_formula_data!P7,Clean_sheet!$F$2:$F$501,client_formula_data!Q7)</f>
        <v>19870</v>
      </c>
    </row>
    <row r="8" spans="1:18" x14ac:dyDescent="0.25">
      <c r="A8" s="5" t="s">
        <v>42</v>
      </c>
      <c r="B8" s="5" t="str">
        <f>_xlfn.XLOOKUP(A8,Customer_Master!$A$2:$A$101,Customer_Master!$D$2:$D$101)</f>
        <v>Platinum</v>
      </c>
      <c r="C8" s="5" t="str">
        <f>_xlfn.XLOOKUP(A8,Customer_Master!$A$2:$A$101,Customer_Master!$E$2:$E$101)</f>
        <v>Active</v>
      </c>
      <c r="F8" s="5" t="s">
        <v>45</v>
      </c>
      <c r="G8" s="5">
        <f>_xlfn.XLOOKUP(F8,Product_Master!$A$2:$A$26,Product_Master!$C$2:$C$26)</f>
        <v>249</v>
      </c>
      <c r="H8" s="5" t="str">
        <f>_xlfn.XLOOKUP(F8,Product_Master!$A$2:$A$26,Product_Master!$D$2:$D$26)</f>
        <v>High</v>
      </c>
      <c r="J8" s="5" t="s">
        <v>42</v>
      </c>
      <c r="K8" s="4">
        <v>9</v>
      </c>
      <c r="M8" s="5" t="s">
        <v>42</v>
      </c>
      <c r="N8" s="4">
        <f>SUMIF(Clean_sheet!C5:C504,client_formula_data!M8,Clean_sheet!K5:K504)</f>
        <v>18176</v>
      </c>
      <c r="P8" s="4" t="str">
        <v>Clothing</v>
      </c>
      <c r="Q8" s="4" t="str">
        <v>Kolhapur</v>
      </c>
      <c r="R8" s="4">
        <f>SUMIFS(Clean_sheet!$K$2:$K$501,Clean_sheet!$G$2:$G$501,client_formula_data!P8,Clean_sheet!$F$2:$F$501,client_formula_data!Q8)</f>
        <v>59343</v>
      </c>
    </row>
    <row r="9" spans="1:18" x14ac:dyDescent="0.25">
      <c r="A9" s="5" t="s">
        <v>50</v>
      </c>
      <c r="B9" s="5" t="str">
        <f>_xlfn.XLOOKUP(A9,Customer_Master!$A$2:$A$101,Customer_Master!$D$2:$D$101)</f>
        <v>Platinum</v>
      </c>
      <c r="C9" s="5" t="str">
        <f>_xlfn.XLOOKUP(A9,Customer_Master!$A$2:$A$101,Customer_Master!$E$2:$E$101)</f>
        <v>Active</v>
      </c>
      <c r="F9" s="5" t="s">
        <v>52</v>
      </c>
      <c r="G9" s="5">
        <f>_xlfn.XLOOKUP(F9,Product_Master!$A$2:$A$26,Product_Master!$C$2:$C$26)</f>
        <v>299</v>
      </c>
      <c r="H9" s="5" t="str">
        <f>_xlfn.XLOOKUP(F9,Product_Master!$A$2:$A$26,Product_Master!$D$2:$D$26)</f>
        <v>Medium</v>
      </c>
      <c r="J9" s="5" t="s">
        <v>50</v>
      </c>
      <c r="K9" s="4">
        <v>4</v>
      </c>
      <c r="M9" s="5" t="s">
        <v>50</v>
      </c>
      <c r="N9" s="4">
        <f>SUMIF(Clean_sheet!C6:C505,client_formula_data!M9,Clean_sheet!K6:K505)</f>
        <v>8690</v>
      </c>
      <c r="P9" s="4" t="str">
        <v>Grocery</v>
      </c>
      <c r="Q9" s="4" t="str">
        <v>Nagpur</v>
      </c>
      <c r="R9" s="4">
        <f>SUMIFS(Clean_sheet!$K$2:$K$501,Clean_sheet!$G$2:$G$501,client_formula_data!P9,Clean_sheet!$F$2:$F$501,client_formula_data!Q9)</f>
        <v>39609</v>
      </c>
    </row>
    <row r="10" spans="1:18" x14ac:dyDescent="0.25">
      <c r="A10" s="5" t="s">
        <v>56</v>
      </c>
      <c r="B10" s="5" t="str">
        <f>_xlfn.XLOOKUP(A10,Customer_Master!$A$2:$A$101,Customer_Master!$D$2:$D$101)</f>
        <v>Regular</v>
      </c>
      <c r="C10" s="5" t="str">
        <f>_xlfn.XLOOKUP(A10,Customer_Master!$A$2:$A$101,Customer_Master!$E$2:$E$101)</f>
        <v>Active</v>
      </c>
      <c r="F10" s="5" t="s">
        <v>45</v>
      </c>
      <c r="G10" s="5">
        <f>_xlfn.XLOOKUP(F10,Product_Master!$A$2:$A$26,Product_Master!$C$2:$C$26)</f>
        <v>249</v>
      </c>
      <c r="H10" s="5" t="str">
        <f>_xlfn.XLOOKUP(F10,Product_Master!$A$2:$A$26,Product_Master!$D$2:$D$26)</f>
        <v>High</v>
      </c>
      <c r="J10" s="5" t="s">
        <v>56</v>
      </c>
      <c r="K10" s="4">
        <v>10</v>
      </c>
      <c r="M10" s="5" t="s">
        <v>56</v>
      </c>
      <c r="N10" s="4">
        <f>SUMIF(Clean_sheet!C7:C506,client_formula_data!M10,Clean_sheet!K7:K506)</f>
        <v>27563</v>
      </c>
      <c r="P10" s="4"/>
      <c r="Q10" s="4" t="str">
        <v>Thane</v>
      </c>
      <c r="R10" s="4">
        <f>SUMIFS(Clean_sheet!$K$2:$K$501,Clean_sheet!$G$2:$G$501,client_formula_data!P10,Clean_sheet!$F$2:$F$501,client_formula_data!Q10)</f>
        <v>0</v>
      </c>
    </row>
    <row r="11" spans="1:18" x14ac:dyDescent="0.25">
      <c r="A11" s="5" t="s">
        <v>59</v>
      </c>
      <c r="B11" s="5" t="str">
        <f>_xlfn.XLOOKUP(A11,Customer_Master!$A$2:$A$101,Customer_Master!$D$2:$D$101)</f>
        <v>Platinum</v>
      </c>
      <c r="C11" s="5" t="str">
        <f>_xlfn.XLOOKUP(A11,Customer_Master!$A$2:$A$101,Customer_Master!$E$2:$E$101)</f>
        <v>Active</v>
      </c>
      <c r="F11" s="5" t="s">
        <v>52</v>
      </c>
      <c r="G11" s="5">
        <f>_xlfn.XLOOKUP(F11,Product_Master!$A$2:$A$26,Product_Master!$C$2:$C$26)</f>
        <v>299</v>
      </c>
      <c r="H11" s="5" t="str">
        <f>_xlfn.XLOOKUP(F11,Product_Master!$A$2:$A$26,Product_Master!$D$2:$D$26)</f>
        <v>Medium</v>
      </c>
      <c r="J11" s="5" t="s">
        <v>59</v>
      </c>
      <c r="K11" s="4">
        <v>6</v>
      </c>
      <c r="M11" s="5" t="s">
        <v>59</v>
      </c>
      <c r="N11" s="4">
        <f>SUMIF(Clean_sheet!C8:C507,client_formula_data!M11,Clean_sheet!K8:K507)</f>
        <v>21182</v>
      </c>
      <c r="P11" s="4"/>
      <c r="Q11" s="4" t="str">
        <v>Mumbai</v>
      </c>
      <c r="R11" s="4">
        <f>SUMIFS(Clean_sheet!$K$2:$K$501,Clean_sheet!$G$2:$G$501,client_formula_data!P11,Clean_sheet!$F$2:$F$501,client_formula_data!Q11)</f>
        <v>0</v>
      </c>
    </row>
    <row r="12" spans="1:18" x14ac:dyDescent="0.25">
      <c r="A12" s="5" t="s">
        <v>56</v>
      </c>
      <c r="B12" s="5" t="str">
        <f>_xlfn.XLOOKUP(A12,Customer_Master!$A$2:$A$101,Customer_Master!$D$2:$D$101)</f>
        <v>Regular</v>
      </c>
      <c r="C12" s="5" t="str">
        <f>_xlfn.XLOOKUP(A12,Customer_Master!$A$2:$A$101,Customer_Master!$E$2:$E$101)</f>
        <v>Active</v>
      </c>
      <c r="F12" s="5" t="s">
        <v>64</v>
      </c>
      <c r="G12" s="5">
        <f>_xlfn.XLOOKUP(F12,Product_Master!$A$2:$A$26,Product_Master!$C$2:$C$26)</f>
        <v>599</v>
      </c>
      <c r="H12" s="5" t="str">
        <f>_xlfn.XLOOKUP(F12,Product_Master!$A$2:$A$26,Product_Master!$D$2:$D$26)</f>
        <v>Low</v>
      </c>
      <c r="J12" s="5" t="s">
        <v>56</v>
      </c>
      <c r="K12" s="4">
        <v>10</v>
      </c>
      <c r="M12" s="5" t="s">
        <v>56</v>
      </c>
      <c r="N12" s="4">
        <f>SUMIF(Clean_sheet!C9:C508,client_formula_data!M12,Clean_sheet!K9:K508)</f>
        <v>17568</v>
      </c>
      <c r="P12" s="4"/>
      <c r="Q12" s="4" t="str">
        <v>Nashik</v>
      </c>
      <c r="R12" s="4">
        <f>SUMIFS(Clean_sheet!$K$2:$K$501,Clean_sheet!$G$2:$G$501,client_formula_data!P12,Clean_sheet!$F$2:$F$501,client_formula_data!Q12)</f>
        <v>0</v>
      </c>
    </row>
    <row r="13" spans="1:18" x14ac:dyDescent="0.25">
      <c r="A13" s="5" t="s">
        <v>67</v>
      </c>
      <c r="B13" s="5" t="str">
        <f>_xlfn.XLOOKUP(A13,Customer_Master!$A$2:$A$101,Customer_Master!$D$2:$D$101)</f>
        <v>Platinum</v>
      </c>
      <c r="C13" s="5" t="str">
        <f>_xlfn.XLOOKUP(A13,Customer_Master!$A$2:$A$101,Customer_Master!$E$2:$E$101)</f>
        <v>Inactive</v>
      </c>
      <c r="F13" s="5" t="s">
        <v>69</v>
      </c>
      <c r="G13" s="5">
        <f>_xlfn.XLOOKUP(F13,Product_Master!$A$2:$A$26,Product_Master!$C$2:$C$26)</f>
        <v>499</v>
      </c>
      <c r="H13" s="5" t="str">
        <f>_xlfn.XLOOKUP(F13,Product_Master!$A$2:$A$26,Product_Master!$D$2:$D$26)</f>
        <v>Medium</v>
      </c>
      <c r="J13" s="5" t="s">
        <v>67</v>
      </c>
      <c r="K13" s="4">
        <v>3</v>
      </c>
      <c r="M13" s="5" t="s">
        <v>67</v>
      </c>
      <c r="N13" s="4">
        <f>SUMIF(Clean_sheet!C10:C509,client_formula_data!M13,Clean_sheet!K10:K509)</f>
        <v>8292</v>
      </c>
    </row>
    <row r="14" spans="1:18" x14ac:dyDescent="0.25">
      <c r="A14" s="5" t="s">
        <v>72</v>
      </c>
      <c r="B14" s="5" t="str">
        <f>_xlfn.XLOOKUP(A14,Customer_Master!$A$2:$A$101,Customer_Master!$D$2:$D$101)</f>
        <v>Platinum</v>
      </c>
      <c r="C14" s="5" t="str">
        <f>_xlfn.XLOOKUP(A14,Customer_Master!$A$2:$A$101,Customer_Master!$E$2:$E$101)</f>
        <v>Active</v>
      </c>
      <c r="F14" s="5" t="s">
        <v>73</v>
      </c>
      <c r="G14" s="5">
        <f>_xlfn.XLOOKUP(F14,Product_Master!$A$2:$A$26,Product_Master!$C$2:$C$26)</f>
        <v>1499</v>
      </c>
      <c r="H14" s="5" t="str">
        <f>_xlfn.XLOOKUP(F14,Product_Master!$A$2:$A$26,Product_Master!$D$2:$D$26)</f>
        <v>Medium</v>
      </c>
      <c r="J14" s="5" t="s">
        <v>72</v>
      </c>
      <c r="K14" s="4">
        <v>6</v>
      </c>
      <c r="M14" s="5" t="s">
        <v>72</v>
      </c>
      <c r="N14" s="4">
        <f>SUMIF(Clean_sheet!C11:C510,client_formula_data!M14,Clean_sheet!K11:K510)</f>
        <v>11789</v>
      </c>
    </row>
    <row r="15" spans="1:18" x14ac:dyDescent="0.25">
      <c r="A15" s="5" t="s">
        <v>75</v>
      </c>
      <c r="B15" s="5" t="str">
        <f>_xlfn.XLOOKUP(A15,Customer_Master!$A$2:$A$101,Customer_Master!$D$2:$D$101)</f>
        <v>Platinum</v>
      </c>
      <c r="C15" s="5" t="str">
        <f>_xlfn.XLOOKUP(A15,Customer_Master!$A$2:$A$101,Customer_Master!$E$2:$E$101)</f>
        <v>Active</v>
      </c>
      <c r="F15" s="5" t="s">
        <v>77</v>
      </c>
      <c r="G15" s="5">
        <f>_xlfn.XLOOKUP(F15,Product_Master!$A$2:$A$26,Product_Master!$C$2:$C$26)</f>
        <v>999</v>
      </c>
      <c r="H15" s="5" t="str">
        <f>_xlfn.XLOOKUP(F15,Product_Master!$A$2:$A$26,Product_Master!$D$2:$D$26)</f>
        <v>High</v>
      </c>
      <c r="J15" s="5" t="s">
        <v>75</v>
      </c>
      <c r="K15" s="4">
        <v>11</v>
      </c>
      <c r="M15" s="5" t="s">
        <v>75</v>
      </c>
      <c r="N15" s="4">
        <f>SUMIF(Clean_sheet!C12:C511,client_formula_data!M15,Clean_sheet!K12:K511)</f>
        <v>21467</v>
      </c>
    </row>
    <row r="16" spans="1:18" x14ac:dyDescent="0.25">
      <c r="A16" s="5" t="s">
        <v>80</v>
      </c>
      <c r="B16" s="5" t="str">
        <f>_xlfn.XLOOKUP(A16,Customer_Master!$A$2:$A$101,Customer_Master!$D$2:$D$101)</f>
        <v>Silver</v>
      </c>
      <c r="C16" s="5" t="str">
        <f>_xlfn.XLOOKUP(A16,Customer_Master!$A$2:$A$101,Customer_Master!$E$2:$E$101)</f>
        <v>Inactive</v>
      </c>
      <c r="F16" s="5" t="s">
        <v>81</v>
      </c>
      <c r="G16" s="5">
        <f>_xlfn.XLOOKUP(F16,Product_Master!$A$2:$A$26,Product_Master!$C$2:$C$26)</f>
        <v>299</v>
      </c>
      <c r="H16" s="5" t="str">
        <f>_xlfn.XLOOKUP(F16,Product_Master!$A$2:$A$26,Product_Master!$D$2:$D$26)</f>
        <v>Low</v>
      </c>
      <c r="J16" s="5" t="s">
        <v>80</v>
      </c>
      <c r="K16" s="4">
        <v>8</v>
      </c>
      <c r="M16" s="5" t="s">
        <v>80</v>
      </c>
      <c r="N16" s="4">
        <f>SUMIF(Clean_sheet!C13:C512,client_formula_data!M16,Clean_sheet!K13:K512)</f>
        <v>21077</v>
      </c>
    </row>
    <row r="17" spans="1:22" x14ac:dyDescent="0.25">
      <c r="A17" s="5" t="s">
        <v>84</v>
      </c>
      <c r="B17" s="5" t="str">
        <f>_xlfn.XLOOKUP(A17,Customer_Master!$A$2:$A$101,Customer_Master!$D$2:$D$101)</f>
        <v>Silver</v>
      </c>
      <c r="C17" s="5" t="str">
        <f>_xlfn.XLOOKUP(A17,Customer_Master!$A$2:$A$101,Customer_Master!$E$2:$E$101)</f>
        <v>Inactive</v>
      </c>
      <c r="F17" s="5" t="s">
        <v>81</v>
      </c>
      <c r="G17" s="5">
        <f>_xlfn.XLOOKUP(F17,Product_Master!$A$2:$A$26,Product_Master!$C$2:$C$26)</f>
        <v>299</v>
      </c>
      <c r="H17" s="5" t="str">
        <f>_xlfn.XLOOKUP(F17,Product_Master!$A$2:$A$26,Product_Master!$D$2:$D$26)</f>
        <v>Low</v>
      </c>
      <c r="J17" s="5" t="s">
        <v>84</v>
      </c>
      <c r="K17" s="4">
        <v>4</v>
      </c>
      <c r="M17" s="5" t="s">
        <v>84</v>
      </c>
      <c r="N17" s="4">
        <f>SUMIF(Clean_sheet!C14:C513,client_formula_data!M17,Clean_sheet!K14:K513)</f>
        <v>9390</v>
      </c>
    </row>
    <row r="18" spans="1:22" x14ac:dyDescent="0.25">
      <c r="A18" s="5" t="s">
        <v>88</v>
      </c>
      <c r="B18" s="5" t="str">
        <f>_xlfn.XLOOKUP(A18,Customer_Master!$A$2:$A$101,Customer_Master!$D$2:$D$101)</f>
        <v>Gold</v>
      </c>
      <c r="C18" s="5" t="str">
        <f>_xlfn.XLOOKUP(A18,Customer_Master!$A$2:$A$101,Customer_Master!$E$2:$E$101)</f>
        <v>Active</v>
      </c>
      <c r="F18" s="5" t="s">
        <v>37</v>
      </c>
      <c r="G18" s="5">
        <f>_xlfn.XLOOKUP(F18,Product_Master!$A$2:$A$26,Product_Master!$C$2:$C$26)</f>
        <v>1999</v>
      </c>
      <c r="H18" s="5" t="str">
        <f>_xlfn.XLOOKUP(F18,Product_Master!$A$2:$A$26,Product_Master!$D$2:$D$26)</f>
        <v>High</v>
      </c>
      <c r="J18" s="5" t="s">
        <v>88</v>
      </c>
      <c r="K18" s="4">
        <v>6</v>
      </c>
      <c r="M18" s="5" t="s">
        <v>88</v>
      </c>
      <c r="N18" s="4">
        <f>SUMIF(Clean_sheet!C15:C514,client_formula_data!M18,Clean_sheet!K15:K514)</f>
        <v>12384</v>
      </c>
    </row>
    <row r="19" spans="1:22" x14ac:dyDescent="0.25">
      <c r="A19" s="5" t="s">
        <v>91</v>
      </c>
      <c r="B19" s="5" t="str">
        <f>_xlfn.XLOOKUP(A19,Customer_Master!$A$2:$A$101,Customer_Master!$D$2:$D$101)</f>
        <v>Regular</v>
      </c>
      <c r="C19" s="5" t="str">
        <f>_xlfn.XLOOKUP(A19,Customer_Master!$A$2:$A$101,Customer_Master!$E$2:$E$101)</f>
        <v>Active</v>
      </c>
      <c r="F19" s="5" t="s">
        <v>21</v>
      </c>
      <c r="G19" s="5">
        <f>_xlfn.XLOOKUP(F19,Product_Master!$A$2:$A$26,Product_Master!$C$2:$C$26)</f>
        <v>1499</v>
      </c>
      <c r="H19" s="5" t="str">
        <f>_xlfn.XLOOKUP(F19,Product_Master!$A$2:$A$26,Product_Master!$D$2:$D$26)</f>
        <v>Low</v>
      </c>
      <c r="J19" s="5" t="s">
        <v>91</v>
      </c>
      <c r="K19" s="4">
        <v>5</v>
      </c>
      <c r="M19" s="5" t="s">
        <v>91</v>
      </c>
      <c r="N19" s="4">
        <f>SUMIF(Clean_sheet!C16:C515,client_formula_data!M19,Clean_sheet!K16:K515)</f>
        <v>19982</v>
      </c>
    </row>
    <row r="20" spans="1:22" x14ac:dyDescent="0.25">
      <c r="A20" s="5" t="s">
        <v>93</v>
      </c>
      <c r="B20" s="5" t="str">
        <f>_xlfn.XLOOKUP(A20,Customer_Master!$A$2:$A$101,Customer_Master!$D$2:$D$101)</f>
        <v>Gold</v>
      </c>
      <c r="C20" s="5" t="str">
        <f>_xlfn.XLOOKUP(A20,Customer_Master!$A$2:$A$101,Customer_Master!$E$2:$E$101)</f>
        <v>Inactive</v>
      </c>
      <c r="F20" s="5" t="s">
        <v>94</v>
      </c>
      <c r="G20" s="5">
        <f>_xlfn.XLOOKUP(F20,Product_Master!$A$2:$A$26,Product_Master!$C$2:$C$26)</f>
        <v>999</v>
      </c>
      <c r="H20" s="5" t="str">
        <f>_xlfn.XLOOKUP(F20,Product_Master!$A$2:$A$26,Product_Master!$D$2:$D$26)</f>
        <v>Medium</v>
      </c>
      <c r="J20" s="5" t="s">
        <v>93</v>
      </c>
      <c r="K20" s="4">
        <v>6</v>
      </c>
      <c r="M20" s="5" t="s">
        <v>93</v>
      </c>
      <c r="N20" s="4">
        <f>SUMIF(Clean_sheet!C17:C516,client_formula_data!M20,Clean_sheet!K17:K516)</f>
        <v>9781</v>
      </c>
    </row>
    <row r="21" spans="1:22" x14ac:dyDescent="0.25">
      <c r="A21" s="5" t="s">
        <v>75</v>
      </c>
      <c r="B21" s="5" t="str">
        <f>_xlfn.XLOOKUP(A21,Customer_Master!$A$2:$A$101,Customer_Master!$D$2:$D$101)</f>
        <v>Platinum</v>
      </c>
      <c r="C21" s="5" t="str">
        <f>_xlfn.XLOOKUP(A21,Customer_Master!$A$2:$A$101,Customer_Master!$E$2:$E$101)</f>
        <v>Active</v>
      </c>
      <c r="F21" s="5" t="s">
        <v>21</v>
      </c>
      <c r="G21" s="5">
        <f>_xlfn.XLOOKUP(F21,Product_Master!$A$2:$A$26,Product_Master!$C$2:$C$26)</f>
        <v>1499</v>
      </c>
      <c r="H21" s="5" t="str">
        <f>_xlfn.XLOOKUP(F21,Product_Master!$A$2:$A$26,Product_Master!$D$2:$D$26)</f>
        <v>Low</v>
      </c>
      <c r="J21" s="5" t="s">
        <v>75</v>
      </c>
      <c r="K21" s="4">
        <v>11</v>
      </c>
      <c r="M21" s="5" t="s">
        <v>75</v>
      </c>
      <c r="N21" s="4">
        <f>SUMIF(Clean_sheet!C18:C517,client_formula_data!M21,Clean_sheet!K18:K517)</f>
        <v>19972</v>
      </c>
      <c r="V21" s="19"/>
    </row>
    <row r="22" spans="1:22" x14ac:dyDescent="0.25">
      <c r="A22" s="5" t="s">
        <v>97</v>
      </c>
      <c r="B22" s="5" t="str">
        <f>_xlfn.XLOOKUP(A22,Customer_Master!$A$2:$A$101,Customer_Master!$D$2:$D$101)</f>
        <v>Regular</v>
      </c>
      <c r="C22" s="5" t="str">
        <f>_xlfn.XLOOKUP(A22,Customer_Master!$A$2:$A$101,Customer_Master!$E$2:$E$101)</f>
        <v>Inactive</v>
      </c>
      <c r="F22" s="5" t="s">
        <v>99</v>
      </c>
      <c r="G22" s="5">
        <f>_xlfn.XLOOKUP(F22,Product_Master!$A$2:$A$26,Product_Master!$C$2:$C$26)</f>
        <v>1499</v>
      </c>
      <c r="H22" s="5" t="str">
        <f>_xlfn.XLOOKUP(F22,Product_Master!$A$2:$A$26,Product_Master!$D$2:$D$26)</f>
        <v>Low</v>
      </c>
      <c r="J22" s="5" t="s">
        <v>97</v>
      </c>
      <c r="K22" s="4">
        <v>9</v>
      </c>
      <c r="M22" s="5" t="s">
        <v>97</v>
      </c>
      <c r="N22" s="4">
        <f>SUMIF(Clean_sheet!C19:C518,client_formula_data!M22,Clean_sheet!K19:K518)</f>
        <v>41263</v>
      </c>
    </row>
    <row r="23" spans="1:22" x14ac:dyDescent="0.25">
      <c r="A23" s="5" t="s">
        <v>42</v>
      </c>
      <c r="B23" s="5" t="str">
        <f>_xlfn.XLOOKUP(A23,Customer_Master!$A$2:$A$101,Customer_Master!$D$2:$D$101)</f>
        <v>Platinum</v>
      </c>
      <c r="C23" s="5" t="str">
        <f>_xlfn.XLOOKUP(A23,Customer_Master!$A$2:$A$101,Customer_Master!$E$2:$E$101)</f>
        <v>Active</v>
      </c>
      <c r="F23" s="5" t="s">
        <v>102</v>
      </c>
      <c r="G23" s="5">
        <f>_xlfn.XLOOKUP(F23,Product_Master!$A$2:$A$26,Product_Master!$C$2:$C$26)</f>
        <v>499</v>
      </c>
      <c r="H23" s="5" t="str">
        <f>_xlfn.XLOOKUP(F23,Product_Master!$A$2:$A$26,Product_Master!$D$2:$D$26)</f>
        <v>Medium</v>
      </c>
      <c r="J23" s="5" t="s">
        <v>42</v>
      </c>
      <c r="K23" s="4">
        <v>9</v>
      </c>
      <c r="M23" s="5" t="s">
        <v>42</v>
      </c>
      <c r="N23" s="4">
        <f>SUMIF(Clean_sheet!C20:C519,client_formula_data!M23,Clean_sheet!K20:K519)</f>
        <v>12980</v>
      </c>
    </row>
    <row r="24" spans="1:22" x14ac:dyDescent="0.25">
      <c r="A24" s="5" t="s">
        <v>105</v>
      </c>
      <c r="B24" s="5" t="str">
        <f>_xlfn.XLOOKUP(A24,Customer_Master!$A$2:$A$101,Customer_Master!$D$2:$D$101)</f>
        <v>Silver</v>
      </c>
      <c r="C24" s="5" t="str">
        <f>_xlfn.XLOOKUP(A24,Customer_Master!$A$2:$A$101,Customer_Master!$E$2:$E$101)</f>
        <v>Active</v>
      </c>
      <c r="F24" s="5" t="s">
        <v>102</v>
      </c>
      <c r="G24" s="5">
        <f>_xlfn.XLOOKUP(F24,Product_Master!$A$2:$A$26,Product_Master!$C$2:$C$26)</f>
        <v>499</v>
      </c>
      <c r="H24" s="5" t="str">
        <f>_xlfn.XLOOKUP(F24,Product_Master!$A$2:$A$26,Product_Master!$D$2:$D$26)</f>
        <v>Medium</v>
      </c>
      <c r="J24" s="5" t="s">
        <v>105</v>
      </c>
      <c r="K24" s="4">
        <v>6</v>
      </c>
      <c r="M24" s="5" t="s">
        <v>105</v>
      </c>
      <c r="N24" s="4">
        <f>SUMIF(Clean_sheet!C21:C520,client_formula_data!M24,Clean_sheet!K21:K520)</f>
        <v>14485</v>
      </c>
    </row>
    <row r="25" spans="1:22" x14ac:dyDescent="0.25">
      <c r="A25" s="5" t="s">
        <v>107</v>
      </c>
      <c r="B25" s="5" t="str">
        <f>_xlfn.XLOOKUP(A25,Customer_Master!$A$2:$A$101,Customer_Master!$D$2:$D$101)</f>
        <v>Regular</v>
      </c>
      <c r="C25" s="5" t="str">
        <f>_xlfn.XLOOKUP(A25,Customer_Master!$A$2:$A$101,Customer_Master!$E$2:$E$101)</f>
        <v>Active</v>
      </c>
      <c r="F25" s="5" t="s">
        <v>108</v>
      </c>
      <c r="G25" s="5">
        <f>_xlfn.XLOOKUP(F25,Product_Master!$A$2:$A$26,Product_Master!$C$2:$C$26)</f>
        <v>499</v>
      </c>
      <c r="H25" s="5" t="str">
        <f>_xlfn.XLOOKUP(F25,Product_Master!$A$2:$A$26,Product_Master!$D$2:$D$26)</f>
        <v>Medium</v>
      </c>
      <c r="J25" s="5" t="s">
        <v>107</v>
      </c>
      <c r="K25" s="4">
        <v>5</v>
      </c>
      <c r="M25" s="5" t="s">
        <v>107</v>
      </c>
      <c r="N25" s="4">
        <f>SUMIF(Clean_sheet!C22:C521,client_formula_data!M25,Clean_sheet!K22:K521)</f>
        <v>11631</v>
      </c>
    </row>
    <row r="26" spans="1:22" x14ac:dyDescent="0.25">
      <c r="A26" s="5" t="s">
        <v>110</v>
      </c>
      <c r="B26" s="5" t="str">
        <f>_xlfn.XLOOKUP(A26,Customer_Master!$A$2:$A$101,Customer_Master!$D$2:$D$101)</f>
        <v>Platinum</v>
      </c>
      <c r="C26" s="5" t="str">
        <f>_xlfn.XLOOKUP(A26,Customer_Master!$A$2:$A$101,Customer_Master!$E$2:$E$101)</f>
        <v>Active</v>
      </c>
      <c r="F26" s="5" t="s">
        <v>81</v>
      </c>
      <c r="G26" s="5">
        <f>_xlfn.XLOOKUP(F26,Product_Master!$A$2:$A$26,Product_Master!$C$2:$C$26)</f>
        <v>299</v>
      </c>
      <c r="H26" s="5" t="str">
        <f>_xlfn.XLOOKUP(F26,Product_Master!$A$2:$A$26,Product_Master!$D$2:$D$26)</f>
        <v>Low</v>
      </c>
      <c r="J26" s="5" t="s">
        <v>110</v>
      </c>
      <c r="K26" s="4">
        <v>6</v>
      </c>
      <c r="M26" s="5" t="s">
        <v>110</v>
      </c>
      <c r="N26" s="4">
        <f>SUMIF(Clean_sheet!C23:C522,client_formula_data!M26,Clean_sheet!K23:K522)</f>
        <v>26083</v>
      </c>
    </row>
    <row r="27" spans="1:22" x14ac:dyDescent="0.25">
      <c r="A27" s="5" t="s">
        <v>112</v>
      </c>
      <c r="B27" s="5" t="str">
        <f>_xlfn.XLOOKUP(A27,Customer_Master!$A$2:$A$101,Customer_Master!$D$2:$D$101)</f>
        <v>Gold</v>
      </c>
      <c r="C27" s="5" t="str">
        <f>_xlfn.XLOOKUP(A27,Customer_Master!$A$2:$A$101,Customer_Master!$E$2:$E$101)</f>
        <v>Active</v>
      </c>
      <c r="F27" s="5" t="s">
        <v>99</v>
      </c>
      <c r="G27" s="5">
        <f>_xlfn.XLOOKUP(F27,Product_Master!$A$2:$A$26,Product_Master!$C$2:$C$26)</f>
        <v>1499</v>
      </c>
      <c r="H27" s="5" t="str">
        <f>_xlfn.XLOOKUP(F27,Product_Master!$A$2:$A$26,Product_Master!$D$2:$D$26)</f>
        <v>Low</v>
      </c>
      <c r="J27" s="5" t="s">
        <v>112</v>
      </c>
      <c r="K27" s="4">
        <v>8</v>
      </c>
      <c r="M27" s="5" t="s">
        <v>112</v>
      </c>
      <c r="N27" s="4">
        <f>SUMIF(Clean_sheet!C24:C523,client_formula_data!M27,Clean_sheet!K24:K523)</f>
        <v>17328</v>
      </c>
    </row>
    <row r="28" spans="1:22" x14ac:dyDescent="0.25">
      <c r="A28" s="5" t="s">
        <v>114</v>
      </c>
      <c r="B28" s="5" t="str">
        <f>_xlfn.XLOOKUP(A28,Customer_Master!$A$2:$A$101,Customer_Master!$D$2:$D$101)</f>
        <v>Silver</v>
      </c>
      <c r="C28" s="5" t="str">
        <f>_xlfn.XLOOKUP(A28,Customer_Master!$A$2:$A$101,Customer_Master!$E$2:$E$101)</f>
        <v>Inactive</v>
      </c>
      <c r="F28" s="5" t="s">
        <v>64</v>
      </c>
      <c r="G28" s="5">
        <f>_xlfn.XLOOKUP(F28,Product_Master!$A$2:$A$26,Product_Master!$C$2:$C$26)</f>
        <v>599</v>
      </c>
      <c r="H28" s="5" t="str">
        <f>_xlfn.XLOOKUP(F28,Product_Master!$A$2:$A$26,Product_Master!$D$2:$D$26)</f>
        <v>Low</v>
      </c>
      <c r="J28" s="5" t="s">
        <v>114</v>
      </c>
      <c r="K28" s="4">
        <v>4</v>
      </c>
      <c r="M28" s="5" t="s">
        <v>114</v>
      </c>
      <c r="N28" s="4">
        <f>SUMIF(Clean_sheet!C25:C524,client_formula_data!M28,Clean_sheet!K25:K524)</f>
        <v>10635</v>
      </c>
    </row>
    <row r="29" spans="1:22" x14ac:dyDescent="0.25">
      <c r="A29" s="5" t="s">
        <v>116</v>
      </c>
      <c r="B29" s="5" t="str">
        <f>_xlfn.XLOOKUP(A29,Customer_Master!$A$2:$A$101,Customer_Master!$D$2:$D$101)</f>
        <v>Regular</v>
      </c>
      <c r="C29" s="5" t="str">
        <f>_xlfn.XLOOKUP(A29,Customer_Master!$A$2:$A$101,Customer_Master!$E$2:$E$101)</f>
        <v>Inactive</v>
      </c>
      <c r="F29" s="5" t="s">
        <v>21</v>
      </c>
      <c r="G29" s="5">
        <f>_xlfn.XLOOKUP(F29,Product_Master!$A$2:$A$26,Product_Master!$C$2:$C$26)</f>
        <v>1499</v>
      </c>
      <c r="H29" s="5" t="str">
        <f>_xlfn.XLOOKUP(F29,Product_Master!$A$2:$A$26,Product_Master!$D$2:$D$26)</f>
        <v>Low</v>
      </c>
      <c r="J29" s="5" t="s">
        <v>116</v>
      </c>
      <c r="K29" s="4">
        <v>7</v>
      </c>
      <c r="M29" s="5" t="s">
        <v>116</v>
      </c>
      <c r="N29" s="4">
        <f>SUMIF(Clean_sheet!C26:C525,client_formula_data!M29,Clean_sheet!K26:K525)</f>
        <v>25530</v>
      </c>
    </row>
    <row r="30" spans="1:22" x14ac:dyDescent="0.25">
      <c r="A30" s="5" t="s">
        <v>119</v>
      </c>
      <c r="B30" s="5" t="str">
        <f>_xlfn.XLOOKUP(A30,Customer_Master!$A$2:$A$101,Customer_Master!$D$2:$D$101)</f>
        <v>Regular</v>
      </c>
      <c r="C30" s="5" t="str">
        <f>_xlfn.XLOOKUP(A30,Customer_Master!$A$2:$A$101,Customer_Master!$E$2:$E$101)</f>
        <v>Inactive</v>
      </c>
      <c r="F30" s="5" t="s">
        <v>120</v>
      </c>
      <c r="G30" s="5">
        <f>_xlfn.XLOOKUP(F30,Product_Master!$A$2:$A$26,Product_Master!$C$2:$C$26)</f>
        <v>299</v>
      </c>
      <c r="H30" s="5" t="str">
        <f>_xlfn.XLOOKUP(F30,Product_Master!$A$2:$A$26,Product_Master!$D$2:$D$26)</f>
        <v>Medium</v>
      </c>
      <c r="J30" s="5" t="s">
        <v>119</v>
      </c>
      <c r="K30" s="4">
        <v>8</v>
      </c>
      <c r="M30" s="5" t="s">
        <v>119</v>
      </c>
      <c r="N30" s="4">
        <f>SUMIF(Clean_sheet!C27:C526,client_formula_data!M30,Clean_sheet!K27:K526)</f>
        <v>16978</v>
      </c>
    </row>
    <row r="31" spans="1:22" x14ac:dyDescent="0.25">
      <c r="A31" s="5" t="s">
        <v>123</v>
      </c>
      <c r="B31" s="5" t="str">
        <f>_xlfn.XLOOKUP(A31,Customer_Master!$A$2:$A$101,Customer_Master!$D$2:$D$101)</f>
        <v>Platinum</v>
      </c>
      <c r="C31" s="5" t="str">
        <f>_xlfn.XLOOKUP(A31,Customer_Master!$A$2:$A$101,Customer_Master!$E$2:$E$101)</f>
        <v>Inactive</v>
      </c>
      <c r="F31" s="5" t="s">
        <v>21</v>
      </c>
      <c r="G31" s="5">
        <f>_xlfn.XLOOKUP(F31,Product_Master!$A$2:$A$26,Product_Master!$C$2:$C$26)</f>
        <v>1499</v>
      </c>
      <c r="H31" s="5" t="str">
        <f>_xlfn.XLOOKUP(F31,Product_Master!$A$2:$A$26,Product_Master!$D$2:$D$26)</f>
        <v>Low</v>
      </c>
      <c r="J31" s="5" t="s">
        <v>123</v>
      </c>
      <c r="K31" s="4">
        <v>4</v>
      </c>
      <c r="M31" s="5" t="s">
        <v>123</v>
      </c>
      <c r="N31" s="4">
        <f>SUMIF(Clean_sheet!C28:C527,client_formula_data!M31,Clean_sheet!K28:K527)</f>
        <v>14089</v>
      </c>
    </row>
    <row r="32" spans="1:22" x14ac:dyDescent="0.25">
      <c r="A32" s="5" t="s">
        <v>93</v>
      </c>
      <c r="B32" s="5" t="str">
        <f>_xlfn.XLOOKUP(A32,Customer_Master!$A$2:$A$101,Customer_Master!$D$2:$D$101)</f>
        <v>Gold</v>
      </c>
      <c r="C32" s="5" t="str">
        <f>_xlfn.XLOOKUP(A32,Customer_Master!$A$2:$A$101,Customer_Master!$E$2:$E$101)</f>
        <v>Inactive</v>
      </c>
      <c r="F32" s="5" t="s">
        <v>30</v>
      </c>
      <c r="G32" s="5">
        <f>_xlfn.XLOOKUP(F32,Product_Master!$A$2:$A$26,Product_Master!$C$2:$C$26)</f>
        <v>799</v>
      </c>
      <c r="H32" s="5" t="str">
        <f>_xlfn.XLOOKUP(F32,Product_Master!$A$2:$A$26,Product_Master!$D$2:$D$26)</f>
        <v>High</v>
      </c>
      <c r="J32" s="5" t="s">
        <v>93</v>
      </c>
      <c r="K32" s="4">
        <v>6</v>
      </c>
      <c r="M32" s="5" t="s">
        <v>93</v>
      </c>
      <c r="N32" s="4">
        <f>SUMIF(Clean_sheet!C29:C528,client_formula_data!M32,Clean_sheet!K29:K528)</f>
        <v>8185</v>
      </c>
    </row>
    <row r="33" spans="1:14" x14ac:dyDescent="0.25">
      <c r="A33" s="5" t="s">
        <v>75</v>
      </c>
      <c r="B33" s="5" t="str">
        <f>_xlfn.XLOOKUP(A33,Customer_Master!$A$2:$A$101,Customer_Master!$D$2:$D$101)</f>
        <v>Platinum</v>
      </c>
      <c r="C33" s="5" t="str">
        <f>_xlfn.XLOOKUP(A33,Customer_Master!$A$2:$A$101,Customer_Master!$E$2:$E$101)</f>
        <v>Active</v>
      </c>
      <c r="F33" s="5" t="s">
        <v>102</v>
      </c>
      <c r="G33" s="5">
        <f>_xlfn.XLOOKUP(F33,Product_Master!$A$2:$A$26,Product_Master!$C$2:$C$26)</f>
        <v>499</v>
      </c>
      <c r="H33" s="5" t="str">
        <f>_xlfn.XLOOKUP(F33,Product_Master!$A$2:$A$26,Product_Master!$D$2:$D$26)</f>
        <v>Medium</v>
      </c>
      <c r="J33" s="5" t="s">
        <v>75</v>
      </c>
      <c r="K33" s="4">
        <v>11</v>
      </c>
      <c r="M33" s="5" t="s">
        <v>75</v>
      </c>
      <c r="N33" s="4">
        <f>SUMIF(Clean_sheet!C30:C529,client_formula_data!M33,Clean_sheet!K30:K529)</f>
        <v>19173</v>
      </c>
    </row>
    <row r="34" spans="1:14" x14ac:dyDescent="0.25">
      <c r="A34" s="5" t="s">
        <v>129</v>
      </c>
      <c r="B34" s="5" t="str">
        <f>_xlfn.XLOOKUP(A34,Customer_Master!$A$2:$A$101,Customer_Master!$D$2:$D$101)</f>
        <v>Platinum</v>
      </c>
      <c r="C34" s="5" t="str">
        <f>_xlfn.XLOOKUP(A34,Customer_Master!$A$2:$A$101,Customer_Master!$E$2:$E$101)</f>
        <v>Active</v>
      </c>
      <c r="F34" s="5" t="s">
        <v>30</v>
      </c>
      <c r="G34" s="5">
        <f>_xlfn.XLOOKUP(F34,Product_Master!$A$2:$A$26,Product_Master!$C$2:$C$26)</f>
        <v>799</v>
      </c>
      <c r="H34" s="5" t="str">
        <f>_xlfn.XLOOKUP(F34,Product_Master!$A$2:$A$26,Product_Master!$D$2:$D$26)</f>
        <v>High</v>
      </c>
      <c r="J34" s="5" t="s">
        <v>129</v>
      </c>
      <c r="K34" s="4">
        <v>4</v>
      </c>
      <c r="M34" s="5" t="s">
        <v>129</v>
      </c>
      <c r="N34" s="4">
        <f>SUMIF(Clean_sheet!C31:C530,client_formula_data!M34,Clean_sheet!K31:K530)</f>
        <v>6787</v>
      </c>
    </row>
    <row r="35" spans="1:14" x14ac:dyDescent="0.25">
      <c r="A35" s="5" t="s">
        <v>110</v>
      </c>
      <c r="B35" s="5" t="str">
        <f>_xlfn.XLOOKUP(A35,Customer_Master!$A$2:$A$101,Customer_Master!$D$2:$D$101)</f>
        <v>Platinum</v>
      </c>
      <c r="C35" s="5" t="str">
        <f>_xlfn.XLOOKUP(A35,Customer_Master!$A$2:$A$101,Customer_Master!$E$2:$E$101)</f>
        <v>Active</v>
      </c>
      <c r="F35" s="5" t="s">
        <v>45</v>
      </c>
      <c r="G35" s="5">
        <f>_xlfn.XLOOKUP(F35,Product_Master!$A$2:$A$26,Product_Master!$C$2:$C$26)</f>
        <v>249</v>
      </c>
      <c r="H35" s="5" t="str">
        <f>_xlfn.XLOOKUP(F35,Product_Master!$A$2:$A$26,Product_Master!$D$2:$D$26)</f>
        <v>High</v>
      </c>
      <c r="J35" s="5" t="s">
        <v>110</v>
      </c>
      <c r="K35" s="4">
        <v>6</v>
      </c>
      <c r="M35" s="5" t="s">
        <v>110</v>
      </c>
      <c r="N35" s="4">
        <f>SUMIF(Clean_sheet!C32:C531,client_formula_data!M35,Clean_sheet!K32:K531)</f>
        <v>25284</v>
      </c>
    </row>
    <row r="36" spans="1:14" x14ac:dyDescent="0.25">
      <c r="A36" s="5" t="s">
        <v>132</v>
      </c>
      <c r="B36" s="5" t="str">
        <f>_xlfn.XLOOKUP(A36,Customer_Master!$A$2:$A$101,Customer_Master!$D$2:$D$101)</f>
        <v>Silver</v>
      </c>
      <c r="C36" s="5" t="str">
        <f>_xlfn.XLOOKUP(A36,Customer_Master!$A$2:$A$101,Customer_Master!$E$2:$E$101)</f>
        <v>Active</v>
      </c>
      <c r="F36" s="5" t="s">
        <v>133</v>
      </c>
      <c r="G36" s="5">
        <f>_xlfn.XLOOKUP(F36,Product_Master!$A$2:$A$26,Product_Master!$C$2:$C$26)</f>
        <v>249</v>
      </c>
      <c r="H36" s="5" t="str">
        <f>_xlfn.XLOOKUP(F36,Product_Master!$A$2:$A$26,Product_Master!$D$2:$D$26)</f>
        <v>High</v>
      </c>
      <c r="J36" s="5" t="s">
        <v>132</v>
      </c>
      <c r="K36" s="4">
        <v>5</v>
      </c>
      <c r="M36" s="5" t="s">
        <v>132</v>
      </c>
      <c r="N36" s="4">
        <f>SUMIF(Clean_sheet!C33:C532,client_formula_data!M36,Clean_sheet!K33:K532)</f>
        <v>10733</v>
      </c>
    </row>
    <row r="37" spans="1:14" x14ac:dyDescent="0.25">
      <c r="A37" s="5" t="s">
        <v>88</v>
      </c>
      <c r="B37" s="5" t="str">
        <f>_xlfn.XLOOKUP(A37,Customer_Master!$A$2:$A$101,Customer_Master!$D$2:$D$101)</f>
        <v>Gold</v>
      </c>
      <c r="C37" s="5" t="str">
        <f>_xlfn.XLOOKUP(A37,Customer_Master!$A$2:$A$101,Customer_Master!$E$2:$E$101)</f>
        <v>Active</v>
      </c>
      <c r="F37" s="5" t="s">
        <v>77</v>
      </c>
      <c r="G37" s="5">
        <f>_xlfn.XLOOKUP(F37,Product_Master!$A$2:$A$26,Product_Master!$C$2:$C$26)</f>
        <v>999</v>
      </c>
      <c r="H37" s="5" t="str">
        <f>_xlfn.XLOOKUP(F37,Product_Master!$A$2:$A$26,Product_Master!$D$2:$D$26)</f>
        <v>High</v>
      </c>
      <c r="J37" s="5" t="s">
        <v>88</v>
      </c>
      <c r="K37" s="4">
        <v>6</v>
      </c>
      <c r="M37" s="5" t="s">
        <v>88</v>
      </c>
      <c r="N37" s="4">
        <f>SUMIF(Clean_sheet!C34:C533,client_formula_data!M37,Clean_sheet!K34:K533)</f>
        <v>7188</v>
      </c>
    </row>
    <row r="38" spans="1:14" x14ac:dyDescent="0.25">
      <c r="A38" s="5" t="s">
        <v>42</v>
      </c>
      <c r="B38" s="5" t="str">
        <f>_xlfn.XLOOKUP(A38,Customer_Master!$A$2:$A$101,Customer_Master!$D$2:$D$101)</f>
        <v>Platinum</v>
      </c>
      <c r="C38" s="5" t="str">
        <f>_xlfn.XLOOKUP(A38,Customer_Master!$A$2:$A$101,Customer_Master!$E$2:$E$101)</f>
        <v>Active</v>
      </c>
      <c r="F38" s="5" t="s">
        <v>137</v>
      </c>
      <c r="G38" s="5">
        <f>_xlfn.XLOOKUP(F38,Product_Master!$A$2:$A$26,Product_Master!$C$2:$C$26)</f>
        <v>299</v>
      </c>
      <c r="H38" s="5" t="str">
        <f>_xlfn.XLOOKUP(F38,Product_Master!$A$2:$A$26,Product_Master!$D$2:$D$26)</f>
        <v>Low</v>
      </c>
      <c r="J38" s="5" t="s">
        <v>42</v>
      </c>
      <c r="K38" s="4">
        <v>9</v>
      </c>
      <c r="M38" s="5" t="s">
        <v>42</v>
      </c>
      <c r="N38" s="4">
        <f>SUMIF(Clean_sheet!C35:C534,client_formula_data!M38,Clean_sheet!K35:K534)</f>
        <v>12184</v>
      </c>
    </row>
    <row r="39" spans="1:14" x14ac:dyDescent="0.25">
      <c r="A39" s="5" t="s">
        <v>139</v>
      </c>
      <c r="B39" s="5" t="str">
        <f>_xlfn.XLOOKUP(A39,Customer_Master!$A$2:$A$101,Customer_Master!$D$2:$D$101)</f>
        <v>Silver</v>
      </c>
      <c r="C39" s="5" t="str">
        <f>_xlfn.XLOOKUP(A39,Customer_Master!$A$2:$A$101,Customer_Master!$E$2:$E$101)</f>
        <v>Active</v>
      </c>
      <c r="F39" s="5" t="s">
        <v>140</v>
      </c>
      <c r="G39" s="5">
        <f>_xlfn.XLOOKUP(F39,Product_Master!$A$2:$A$26,Product_Master!$C$2:$C$26)</f>
        <v>499</v>
      </c>
      <c r="H39" s="5" t="str">
        <f>_xlfn.XLOOKUP(F39,Product_Master!$A$2:$A$26,Product_Master!$D$2:$D$26)</f>
        <v>Medium</v>
      </c>
      <c r="J39" s="5" t="s">
        <v>139</v>
      </c>
      <c r="K39" s="4">
        <v>5</v>
      </c>
      <c r="M39" s="5" t="s">
        <v>139</v>
      </c>
      <c r="N39" s="4">
        <f>SUMIF(Clean_sheet!C36:C535,client_formula_data!M39,Clean_sheet!K36:K535)</f>
        <v>19882</v>
      </c>
    </row>
    <row r="40" spans="1:14" x14ac:dyDescent="0.25">
      <c r="A40" s="5" t="s">
        <v>142</v>
      </c>
      <c r="B40" s="5" t="str">
        <f>_xlfn.XLOOKUP(A40,Customer_Master!$A$2:$A$101,Customer_Master!$D$2:$D$101)</f>
        <v>Gold</v>
      </c>
      <c r="C40" s="5" t="str">
        <f>_xlfn.XLOOKUP(A40,Customer_Master!$A$2:$A$101,Customer_Master!$E$2:$E$101)</f>
        <v>Inactive</v>
      </c>
      <c r="F40" s="5" t="s">
        <v>77</v>
      </c>
      <c r="G40" s="5">
        <f>_xlfn.XLOOKUP(F40,Product_Master!$A$2:$A$26,Product_Master!$C$2:$C$26)</f>
        <v>999</v>
      </c>
      <c r="H40" s="5" t="str">
        <f>_xlfn.XLOOKUP(F40,Product_Master!$A$2:$A$26,Product_Master!$D$2:$D$26)</f>
        <v>High</v>
      </c>
      <c r="J40" s="5" t="s">
        <v>142</v>
      </c>
      <c r="K40" s="4">
        <v>5</v>
      </c>
      <c r="M40" s="5" t="s">
        <v>142</v>
      </c>
      <c r="N40" s="4">
        <f>SUMIF(Clean_sheet!C37:C536,client_formula_data!M40,Clean_sheet!K37:K536)</f>
        <v>20186</v>
      </c>
    </row>
    <row r="41" spans="1:14" x14ac:dyDescent="0.25">
      <c r="A41" s="5" t="s">
        <v>112</v>
      </c>
      <c r="B41" s="5" t="str">
        <f>_xlfn.XLOOKUP(A41,Customer_Master!$A$2:$A$101,Customer_Master!$D$2:$D$101)</f>
        <v>Gold</v>
      </c>
      <c r="C41" s="5" t="str">
        <f>_xlfn.XLOOKUP(A41,Customer_Master!$A$2:$A$101,Customer_Master!$E$2:$E$101)</f>
        <v>Active</v>
      </c>
      <c r="F41" s="5" t="s">
        <v>52</v>
      </c>
      <c r="G41" s="5">
        <f>_xlfn.XLOOKUP(F41,Product_Master!$A$2:$A$26,Product_Master!$C$2:$C$26)</f>
        <v>299</v>
      </c>
      <c r="H41" s="5" t="str">
        <f>_xlfn.XLOOKUP(F41,Product_Master!$A$2:$A$26,Product_Master!$D$2:$D$26)</f>
        <v>Medium</v>
      </c>
      <c r="J41" s="5" t="s">
        <v>112</v>
      </c>
      <c r="K41" s="4">
        <v>8</v>
      </c>
      <c r="M41" s="5" t="s">
        <v>112</v>
      </c>
      <c r="N41" s="4">
        <f>SUMIF(Clean_sheet!C38:C537,client_formula_data!M41,Clean_sheet!K38:K537)</f>
        <v>16581</v>
      </c>
    </row>
    <row r="42" spans="1:14" x14ac:dyDescent="0.25">
      <c r="A42" s="5" t="s">
        <v>145</v>
      </c>
      <c r="B42" s="5" t="str">
        <f>_xlfn.XLOOKUP(A42,Customer_Master!$A$2:$A$101,Customer_Master!$D$2:$D$101)</f>
        <v>Silver</v>
      </c>
      <c r="C42" s="5" t="str">
        <f>_xlfn.XLOOKUP(A42,Customer_Master!$A$2:$A$101,Customer_Master!$E$2:$E$101)</f>
        <v>Active</v>
      </c>
      <c r="F42" s="5" t="s">
        <v>21</v>
      </c>
      <c r="G42" s="5">
        <f>_xlfn.XLOOKUP(F42,Product_Master!$A$2:$A$26,Product_Master!$C$2:$C$26)</f>
        <v>1499</v>
      </c>
      <c r="H42" s="5" t="str">
        <f>_xlfn.XLOOKUP(F42,Product_Master!$A$2:$A$26,Product_Master!$D$2:$D$26)</f>
        <v>Low</v>
      </c>
      <c r="J42" s="5" t="s">
        <v>145</v>
      </c>
      <c r="K42" s="4">
        <v>5</v>
      </c>
      <c r="M42" s="5" t="s">
        <v>145</v>
      </c>
      <c r="N42" s="4">
        <f>SUMIF(Clean_sheet!C39:C538,client_formula_data!M42,Clean_sheet!K39:K538)</f>
        <v>12187</v>
      </c>
    </row>
    <row r="43" spans="1:14" x14ac:dyDescent="0.25">
      <c r="A43" s="5" t="s">
        <v>147</v>
      </c>
      <c r="B43" s="5" t="str">
        <f>_xlfn.XLOOKUP(A43,Customer_Master!$A$2:$A$101,Customer_Master!$D$2:$D$101)</f>
        <v>Silver</v>
      </c>
      <c r="C43" s="5" t="str">
        <f>_xlfn.XLOOKUP(A43,Customer_Master!$A$2:$A$101,Customer_Master!$E$2:$E$101)</f>
        <v>Active</v>
      </c>
      <c r="F43" s="5" t="s">
        <v>94</v>
      </c>
      <c r="G43" s="5">
        <f>_xlfn.XLOOKUP(F43,Product_Master!$A$2:$A$26,Product_Master!$C$2:$C$26)</f>
        <v>999</v>
      </c>
      <c r="H43" s="5" t="str">
        <f>_xlfn.XLOOKUP(F43,Product_Master!$A$2:$A$26,Product_Master!$D$2:$D$26)</f>
        <v>Medium</v>
      </c>
      <c r="J43" s="5" t="s">
        <v>147</v>
      </c>
      <c r="K43" s="4">
        <v>5</v>
      </c>
      <c r="M43" s="5" t="s">
        <v>147</v>
      </c>
      <c r="N43" s="4">
        <f>SUMIF(Clean_sheet!C40:C539,client_formula_data!M43,Clean_sheet!K40:K539)</f>
        <v>18485</v>
      </c>
    </row>
    <row r="44" spans="1:14" x14ac:dyDescent="0.25">
      <c r="A44" s="5" t="s">
        <v>150</v>
      </c>
      <c r="B44" s="5" t="str">
        <f>_xlfn.XLOOKUP(A44,Customer_Master!$A$2:$A$101,Customer_Master!$D$2:$D$101)</f>
        <v>Regular</v>
      </c>
      <c r="C44" s="5" t="str">
        <f>_xlfn.XLOOKUP(A44,Customer_Master!$A$2:$A$101,Customer_Master!$E$2:$E$101)</f>
        <v>Active</v>
      </c>
      <c r="F44" s="5" t="s">
        <v>151</v>
      </c>
      <c r="G44" s="5">
        <f>_xlfn.XLOOKUP(F44,Product_Master!$A$2:$A$26,Product_Master!$C$2:$C$26)</f>
        <v>1299</v>
      </c>
      <c r="H44" s="5" t="str">
        <f>_xlfn.XLOOKUP(F44,Product_Master!$A$2:$A$26,Product_Master!$D$2:$D$26)</f>
        <v>Medium</v>
      </c>
      <c r="J44" s="5" t="s">
        <v>150</v>
      </c>
      <c r="K44" s="4">
        <v>6</v>
      </c>
      <c r="M44" s="5" t="s">
        <v>150</v>
      </c>
      <c r="N44" s="4">
        <f>SUMIF(Clean_sheet!C41:C540,client_formula_data!M44,Clean_sheet!K41:K540)</f>
        <v>24079</v>
      </c>
    </row>
    <row r="45" spans="1:14" x14ac:dyDescent="0.25">
      <c r="A45" s="5" t="s">
        <v>153</v>
      </c>
      <c r="B45" s="5" t="str">
        <f>_xlfn.XLOOKUP(A45,Customer_Master!$A$2:$A$101,Customer_Master!$D$2:$D$101)</f>
        <v>Platinum</v>
      </c>
      <c r="C45" s="5" t="str">
        <f>_xlfn.XLOOKUP(A45,Customer_Master!$A$2:$A$101,Customer_Master!$E$2:$E$101)</f>
        <v>Active</v>
      </c>
      <c r="F45" s="5" t="s">
        <v>52</v>
      </c>
      <c r="G45" s="5">
        <f>_xlfn.XLOOKUP(F45,Product_Master!$A$2:$A$26,Product_Master!$C$2:$C$26)</f>
        <v>299</v>
      </c>
      <c r="H45" s="5" t="str">
        <f>_xlfn.XLOOKUP(F45,Product_Master!$A$2:$A$26,Product_Master!$D$2:$D$26)</f>
        <v>Medium</v>
      </c>
      <c r="J45" s="5" t="s">
        <v>153</v>
      </c>
      <c r="K45" s="4">
        <v>7</v>
      </c>
      <c r="M45" s="5" t="s">
        <v>153</v>
      </c>
      <c r="N45" s="4">
        <f>SUMIF(Clean_sheet!C42:C541,client_formula_data!M45,Clean_sheet!K42:K541)</f>
        <v>38977</v>
      </c>
    </row>
    <row r="46" spans="1:14" x14ac:dyDescent="0.25">
      <c r="A46" s="5" t="s">
        <v>155</v>
      </c>
      <c r="B46" s="5" t="str">
        <f>_xlfn.XLOOKUP(A46,Customer_Master!$A$2:$A$101,Customer_Master!$D$2:$D$101)</f>
        <v>Regular</v>
      </c>
      <c r="C46" s="5" t="str">
        <f>_xlfn.XLOOKUP(A46,Customer_Master!$A$2:$A$101,Customer_Master!$E$2:$E$101)</f>
        <v>Inactive</v>
      </c>
      <c r="F46" s="5" t="s">
        <v>156</v>
      </c>
      <c r="G46" s="5">
        <f>_xlfn.XLOOKUP(F46,Product_Master!$A$2:$A$26,Product_Master!$C$2:$C$26)</f>
        <v>599</v>
      </c>
      <c r="H46" s="5" t="str">
        <f>_xlfn.XLOOKUP(F46,Product_Master!$A$2:$A$26,Product_Master!$D$2:$D$26)</f>
        <v>High</v>
      </c>
      <c r="J46" s="5" t="s">
        <v>155</v>
      </c>
      <c r="K46" s="4">
        <v>6</v>
      </c>
      <c r="M46" s="5" t="s">
        <v>155</v>
      </c>
      <c r="N46" s="4">
        <f>SUMIF(Clean_sheet!C43:C542,client_formula_data!M46,Clean_sheet!K43:K542)</f>
        <v>14078</v>
      </c>
    </row>
    <row r="47" spans="1:14" x14ac:dyDescent="0.25">
      <c r="A47" s="5" t="s">
        <v>159</v>
      </c>
      <c r="B47" s="5" t="str">
        <f>_xlfn.XLOOKUP(A47,Customer_Master!$A$2:$A$101,Customer_Master!$D$2:$D$101)</f>
        <v>Silver</v>
      </c>
      <c r="C47" s="5" t="str">
        <f>_xlfn.XLOOKUP(A47,Customer_Master!$A$2:$A$101,Customer_Master!$E$2:$E$101)</f>
        <v>Active</v>
      </c>
      <c r="F47" s="5" t="s">
        <v>133</v>
      </c>
      <c r="G47" s="5">
        <f>_xlfn.XLOOKUP(F47,Product_Master!$A$2:$A$26,Product_Master!$C$2:$C$26)</f>
        <v>249</v>
      </c>
      <c r="H47" s="5" t="str">
        <f>_xlfn.XLOOKUP(F47,Product_Master!$A$2:$A$26,Product_Master!$D$2:$D$26)</f>
        <v>High</v>
      </c>
      <c r="J47" s="5" t="s">
        <v>159</v>
      </c>
      <c r="K47" s="4">
        <v>4</v>
      </c>
      <c r="M47" s="5" t="s">
        <v>159</v>
      </c>
      <c r="N47" s="4">
        <f>SUMIF(Clean_sheet!C44:C543,client_formula_data!M47,Clean_sheet!K44:K543)</f>
        <v>17286</v>
      </c>
    </row>
    <row r="48" spans="1:14" x14ac:dyDescent="0.25">
      <c r="A48" s="5" t="s">
        <v>161</v>
      </c>
      <c r="B48" s="5" t="str">
        <f>_xlfn.XLOOKUP(A48,Customer_Master!$A$2:$A$101,Customer_Master!$D$2:$D$101)</f>
        <v>Platinum</v>
      </c>
      <c r="C48" s="5" t="str">
        <f>_xlfn.XLOOKUP(A48,Customer_Master!$A$2:$A$101,Customer_Master!$E$2:$E$101)</f>
        <v>Inactive</v>
      </c>
      <c r="F48" s="5" t="s">
        <v>140</v>
      </c>
      <c r="G48" s="5">
        <f>_xlfn.XLOOKUP(F48,Product_Master!$A$2:$A$26,Product_Master!$C$2:$C$26)</f>
        <v>499</v>
      </c>
      <c r="H48" s="5" t="str">
        <f>_xlfn.XLOOKUP(F48,Product_Master!$A$2:$A$26,Product_Master!$D$2:$D$26)</f>
        <v>Medium</v>
      </c>
      <c r="J48" s="5" t="s">
        <v>161</v>
      </c>
      <c r="K48" s="4">
        <v>3</v>
      </c>
      <c r="M48" s="5" t="s">
        <v>161</v>
      </c>
      <c r="N48" s="4">
        <f>SUMIF(Clean_sheet!C45:C544,client_formula_data!M48,Clean_sheet!K45:K544)</f>
        <v>7294</v>
      </c>
    </row>
    <row r="49" spans="1:14" x14ac:dyDescent="0.25">
      <c r="A49" s="5" t="s">
        <v>112</v>
      </c>
      <c r="B49" s="5" t="str">
        <f>_xlfn.XLOOKUP(A49,Customer_Master!$A$2:$A$101,Customer_Master!$D$2:$D$101)</f>
        <v>Gold</v>
      </c>
      <c r="C49" s="5" t="str">
        <f>_xlfn.XLOOKUP(A49,Customer_Master!$A$2:$A$101,Customer_Master!$E$2:$E$101)</f>
        <v>Active</v>
      </c>
      <c r="F49" s="5" t="s">
        <v>77</v>
      </c>
      <c r="G49" s="5">
        <f>_xlfn.XLOOKUP(F49,Product_Master!$A$2:$A$26,Product_Master!$C$2:$C$26)</f>
        <v>999</v>
      </c>
      <c r="H49" s="5" t="str">
        <f>_xlfn.XLOOKUP(F49,Product_Master!$A$2:$A$26,Product_Master!$D$2:$D$26)</f>
        <v>High</v>
      </c>
      <c r="J49" s="5" t="s">
        <v>112</v>
      </c>
      <c r="K49" s="4">
        <v>8</v>
      </c>
      <c r="M49" s="5" t="s">
        <v>112</v>
      </c>
      <c r="N49" s="4">
        <f>SUMIF(Clean_sheet!C46:C545,client_formula_data!M49,Clean_sheet!K46:K545)</f>
        <v>10585</v>
      </c>
    </row>
    <row r="50" spans="1:14" x14ac:dyDescent="0.25">
      <c r="A50" s="5" t="s">
        <v>164</v>
      </c>
      <c r="B50" s="5" t="str">
        <f>_xlfn.XLOOKUP(A50,Customer_Master!$A$2:$A$101,Customer_Master!$D$2:$D$101)</f>
        <v>Platinum</v>
      </c>
      <c r="C50" s="5" t="str">
        <f>_xlfn.XLOOKUP(A50,Customer_Master!$A$2:$A$101,Customer_Master!$E$2:$E$101)</f>
        <v>Inactive</v>
      </c>
      <c r="F50" s="5" t="s">
        <v>81</v>
      </c>
      <c r="G50" s="5">
        <f>_xlfn.XLOOKUP(F50,Product_Master!$A$2:$A$26,Product_Master!$C$2:$C$26)</f>
        <v>299</v>
      </c>
      <c r="H50" s="5" t="str">
        <f>_xlfn.XLOOKUP(F50,Product_Master!$A$2:$A$26,Product_Master!$D$2:$D$26)</f>
        <v>Low</v>
      </c>
      <c r="J50" s="5" t="s">
        <v>164</v>
      </c>
      <c r="K50" s="4">
        <v>7</v>
      </c>
      <c r="M50" s="5" t="s">
        <v>164</v>
      </c>
      <c r="N50" s="4">
        <f>SUMIF(Clean_sheet!C47:C546,client_formula_data!M50,Clean_sheet!K47:K546)</f>
        <v>15784</v>
      </c>
    </row>
    <row r="51" spans="1:14" x14ac:dyDescent="0.25">
      <c r="A51" s="5" t="s">
        <v>80</v>
      </c>
      <c r="B51" s="5" t="str">
        <f>_xlfn.XLOOKUP(A51,Customer_Master!$A$2:$A$101,Customer_Master!$D$2:$D$101)</f>
        <v>Silver</v>
      </c>
      <c r="C51" s="5" t="str">
        <f>_xlfn.XLOOKUP(A51,Customer_Master!$A$2:$A$101,Customer_Master!$E$2:$E$101)</f>
        <v>Inactive</v>
      </c>
      <c r="F51" s="5" t="s">
        <v>30</v>
      </c>
      <c r="G51" s="5">
        <f>_xlfn.XLOOKUP(F51,Product_Master!$A$2:$A$26,Product_Master!$C$2:$C$26)</f>
        <v>799</v>
      </c>
      <c r="H51" s="5" t="str">
        <f>_xlfn.XLOOKUP(F51,Product_Master!$A$2:$A$26,Product_Master!$D$2:$D$26)</f>
        <v>High</v>
      </c>
      <c r="J51" s="5" t="s">
        <v>80</v>
      </c>
      <c r="K51" s="4">
        <v>8</v>
      </c>
      <c r="M51" s="5" t="s">
        <v>80</v>
      </c>
      <c r="N51" s="4">
        <f>SUMIF(Clean_sheet!C48:C547,client_formula_data!M51,Clean_sheet!K48:K547)</f>
        <v>18080</v>
      </c>
    </row>
    <row r="52" spans="1:14" x14ac:dyDescent="0.25">
      <c r="A52" s="5" t="s">
        <v>167</v>
      </c>
      <c r="B52" s="5" t="str">
        <f>_xlfn.XLOOKUP(A52,Customer_Master!$A$2:$A$101,Customer_Master!$D$2:$D$101)</f>
        <v>Gold</v>
      </c>
      <c r="C52" s="5" t="str">
        <f>_xlfn.XLOOKUP(A52,Customer_Master!$A$2:$A$101,Customer_Master!$E$2:$E$101)</f>
        <v>Active</v>
      </c>
      <c r="F52" s="5" t="s">
        <v>81</v>
      </c>
      <c r="G52" s="5">
        <f>_xlfn.XLOOKUP(F52,Product_Master!$A$2:$A$26,Product_Master!$C$2:$C$26)</f>
        <v>299</v>
      </c>
      <c r="H52" s="5" t="str">
        <f>_xlfn.XLOOKUP(F52,Product_Master!$A$2:$A$26,Product_Master!$D$2:$D$26)</f>
        <v>Low</v>
      </c>
      <c r="J52" s="5" t="s">
        <v>167</v>
      </c>
      <c r="K52" s="4">
        <v>2</v>
      </c>
      <c r="M52" s="5" t="s">
        <v>167</v>
      </c>
      <c r="N52" s="4">
        <f>SUMIF(Clean_sheet!C49:C548,client_formula_data!M52,Clean_sheet!K49:K548)</f>
        <v>1498</v>
      </c>
    </row>
    <row r="53" spans="1:14" x14ac:dyDescent="0.25">
      <c r="A53" s="5" t="s">
        <v>56</v>
      </c>
      <c r="B53" s="5" t="str">
        <f>_xlfn.XLOOKUP(A53,Customer_Master!$A$2:$A$101,Customer_Master!$D$2:$D$101)</f>
        <v>Regular</v>
      </c>
      <c r="C53" s="5" t="str">
        <f>_xlfn.XLOOKUP(A53,Customer_Master!$A$2:$A$101,Customer_Master!$E$2:$E$101)</f>
        <v>Active</v>
      </c>
      <c r="F53" s="5" t="s">
        <v>73</v>
      </c>
      <c r="G53" s="5">
        <f>_xlfn.XLOOKUP(F53,Product_Master!$A$2:$A$26,Product_Master!$C$2:$C$26)</f>
        <v>1499</v>
      </c>
      <c r="H53" s="5" t="str">
        <f>_xlfn.XLOOKUP(F53,Product_Master!$A$2:$A$26,Product_Master!$D$2:$D$26)</f>
        <v>Medium</v>
      </c>
      <c r="J53" s="5" t="s">
        <v>56</v>
      </c>
      <c r="K53" s="4">
        <v>10</v>
      </c>
      <c r="M53" s="5" t="s">
        <v>56</v>
      </c>
      <c r="N53" s="4">
        <f>SUMIF(Clean_sheet!C50:C549,client_formula_data!M53,Clean_sheet!K50:K549)</f>
        <v>16770</v>
      </c>
    </row>
    <row r="54" spans="1:14" x14ac:dyDescent="0.25">
      <c r="A54" s="5" t="s">
        <v>112</v>
      </c>
      <c r="B54" s="5" t="str">
        <f>_xlfn.XLOOKUP(A54,Customer_Master!$A$2:$A$101,Customer_Master!$D$2:$D$101)</f>
        <v>Gold</v>
      </c>
      <c r="C54" s="5" t="str">
        <f>_xlfn.XLOOKUP(A54,Customer_Master!$A$2:$A$101,Customer_Master!$E$2:$E$101)</f>
        <v>Active</v>
      </c>
      <c r="F54" s="5" t="s">
        <v>156</v>
      </c>
      <c r="G54" s="5">
        <f>_xlfn.XLOOKUP(F54,Product_Master!$A$2:$A$26,Product_Master!$C$2:$C$26)</f>
        <v>599</v>
      </c>
      <c r="H54" s="5" t="str">
        <f>_xlfn.XLOOKUP(F54,Product_Master!$A$2:$A$26,Product_Master!$D$2:$D$26)</f>
        <v>High</v>
      </c>
      <c r="J54" s="5" t="s">
        <v>112</v>
      </c>
      <c r="K54" s="4">
        <v>8</v>
      </c>
      <c r="M54" s="5" t="s">
        <v>112</v>
      </c>
      <c r="N54" s="4">
        <f>SUMIF(Clean_sheet!C51:C550,client_formula_data!M54,Clean_sheet!K51:K550)</f>
        <v>8189</v>
      </c>
    </row>
    <row r="55" spans="1:14" x14ac:dyDescent="0.25">
      <c r="A55" s="5" t="s">
        <v>150</v>
      </c>
      <c r="B55" s="5" t="str">
        <f>_xlfn.XLOOKUP(A55,Customer_Master!$A$2:$A$101,Customer_Master!$D$2:$D$101)</f>
        <v>Regular</v>
      </c>
      <c r="C55" s="5" t="str">
        <f>_xlfn.XLOOKUP(A55,Customer_Master!$A$2:$A$101,Customer_Master!$E$2:$E$101)</f>
        <v>Active</v>
      </c>
      <c r="F55" s="5" t="s">
        <v>171</v>
      </c>
      <c r="G55" s="5">
        <f>_xlfn.XLOOKUP(F55,Product_Master!$A$2:$A$26,Product_Master!$C$2:$C$26)</f>
        <v>299</v>
      </c>
      <c r="H55" s="5" t="str">
        <f>_xlfn.XLOOKUP(F55,Product_Master!$A$2:$A$26,Product_Master!$D$2:$D$26)</f>
        <v>High</v>
      </c>
      <c r="J55" s="5" t="s">
        <v>150</v>
      </c>
      <c r="K55" s="4">
        <v>6</v>
      </c>
      <c r="M55" s="5" t="s">
        <v>150</v>
      </c>
      <c r="N55" s="4">
        <f>SUMIF(Clean_sheet!C52:C551,client_formula_data!M55,Clean_sheet!K52:K551)</f>
        <v>16083</v>
      </c>
    </row>
    <row r="56" spans="1:14" x14ac:dyDescent="0.25">
      <c r="A56" s="5" t="s">
        <v>173</v>
      </c>
      <c r="B56" s="5" t="str">
        <f>_xlfn.XLOOKUP(A56,Customer_Master!$A$2:$A$101,Customer_Master!$D$2:$D$101)</f>
        <v>Gold</v>
      </c>
      <c r="C56" s="5" t="str">
        <f>_xlfn.XLOOKUP(A56,Customer_Master!$A$2:$A$101,Customer_Master!$E$2:$E$101)</f>
        <v>Inactive</v>
      </c>
      <c r="F56" s="5" t="s">
        <v>37</v>
      </c>
      <c r="G56" s="5">
        <f>_xlfn.XLOOKUP(F56,Product_Master!$A$2:$A$26,Product_Master!$C$2:$C$26)</f>
        <v>1999</v>
      </c>
      <c r="H56" s="5" t="str">
        <f>_xlfn.XLOOKUP(F56,Product_Master!$A$2:$A$26,Product_Master!$D$2:$D$26)</f>
        <v>High</v>
      </c>
      <c r="J56" s="5" t="s">
        <v>173</v>
      </c>
      <c r="K56" s="4">
        <v>2</v>
      </c>
      <c r="M56" s="5" t="s">
        <v>173</v>
      </c>
      <c r="N56" s="4">
        <f>SUMIF(Clean_sheet!C53:C552,client_formula_data!M56,Clean_sheet!K53:K552)</f>
        <v>3495</v>
      </c>
    </row>
    <row r="57" spans="1:14" x14ac:dyDescent="0.25">
      <c r="A57" s="5" t="s">
        <v>34</v>
      </c>
      <c r="B57" s="5" t="str">
        <f>_xlfn.XLOOKUP(A57,Customer_Master!$A$2:$A$101,Customer_Master!$D$2:$D$101)</f>
        <v>Platinum</v>
      </c>
      <c r="C57" s="5" t="str">
        <f>_xlfn.XLOOKUP(A57,Customer_Master!$A$2:$A$101,Customer_Master!$E$2:$E$101)</f>
        <v>Inactive</v>
      </c>
      <c r="F57" s="5" t="s">
        <v>52</v>
      </c>
      <c r="G57" s="5">
        <f>_xlfn.XLOOKUP(F57,Product_Master!$A$2:$A$26,Product_Master!$C$2:$C$26)</f>
        <v>299</v>
      </c>
      <c r="H57" s="5" t="str">
        <f>_xlfn.XLOOKUP(F57,Product_Master!$A$2:$A$26,Product_Master!$D$2:$D$26)</f>
        <v>Medium</v>
      </c>
      <c r="J57" s="5" t="s">
        <v>34</v>
      </c>
      <c r="K57" s="4">
        <v>7</v>
      </c>
      <c r="M57" s="5" t="s">
        <v>34</v>
      </c>
      <c r="N57" s="4">
        <f>SUMIF(Clean_sheet!C54:C553,client_formula_data!M57,Clean_sheet!K54:K553)</f>
        <v>17279</v>
      </c>
    </row>
    <row r="58" spans="1:14" x14ac:dyDescent="0.25">
      <c r="A58" s="5" t="s">
        <v>123</v>
      </c>
      <c r="B58" s="5" t="str">
        <f>_xlfn.XLOOKUP(A58,Customer_Master!$A$2:$A$101,Customer_Master!$D$2:$D$101)</f>
        <v>Platinum</v>
      </c>
      <c r="C58" s="5" t="str">
        <f>_xlfn.XLOOKUP(A58,Customer_Master!$A$2:$A$101,Customer_Master!$E$2:$E$101)</f>
        <v>Inactive</v>
      </c>
      <c r="F58" s="5" t="s">
        <v>102</v>
      </c>
      <c r="G58" s="5">
        <f>_xlfn.XLOOKUP(F58,Product_Master!$A$2:$A$26,Product_Master!$C$2:$C$26)</f>
        <v>499</v>
      </c>
      <c r="H58" s="5" t="str">
        <f>_xlfn.XLOOKUP(F58,Product_Master!$A$2:$A$26,Product_Master!$D$2:$D$26)</f>
        <v>Medium</v>
      </c>
      <c r="J58" s="5" t="s">
        <v>123</v>
      </c>
      <c r="K58" s="4">
        <v>4</v>
      </c>
      <c r="M58" s="5" t="s">
        <v>123</v>
      </c>
      <c r="N58" s="4">
        <f>SUMIF(Clean_sheet!C55:C554,client_formula_data!M58,Clean_sheet!K55:K554)</f>
        <v>11491</v>
      </c>
    </row>
    <row r="59" spans="1:14" x14ac:dyDescent="0.25">
      <c r="A59" s="5" t="s">
        <v>147</v>
      </c>
      <c r="B59" s="5" t="str">
        <f>_xlfn.XLOOKUP(A59,Customer_Master!$A$2:$A$101,Customer_Master!$D$2:$D$101)</f>
        <v>Silver</v>
      </c>
      <c r="C59" s="5" t="str">
        <f>_xlfn.XLOOKUP(A59,Customer_Master!$A$2:$A$101,Customer_Master!$E$2:$E$101)</f>
        <v>Active</v>
      </c>
      <c r="F59" s="5" t="s">
        <v>177</v>
      </c>
      <c r="G59" s="5">
        <f>_xlfn.XLOOKUP(F59,Product_Master!$A$2:$A$26,Product_Master!$C$2:$C$26)</f>
        <v>299</v>
      </c>
      <c r="H59" s="5" t="str">
        <f>_xlfn.XLOOKUP(F59,Product_Master!$A$2:$A$26,Product_Master!$D$2:$D$26)</f>
        <v>Low</v>
      </c>
      <c r="J59" s="5" t="s">
        <v>147</v>
      </c>
      <c r="K59" s="4">
        <v>5</v>
      </c>
      <c r="M59" s="5" t="s">
        <v>147</v>
      </c>
      <c r="N59" s="4">
        <f>SUMIF(Clean_sheet!C56:C555,client_formula_data!M59,Clean_sheet!K56:K555)</f>
        <v>15488</v>
      </c>
    </row>
    <row r="60" spans="1:14" x14ac:dyDescent="0.25">
      <c r="A60" s="5" t="s">
        <v>50</v>
      </c>
      <c r="B60" s="5" t="str">
        <f>_xlfn.XLOOKUP(A60,Customer_Master!$A$2:$A$101,Customer_Master!$D$2:$D$101)</f>
        <v>Platinum</v>
      </c>
      <c r="C60" s="5" t="str">
        <f>_xlfn.XLOOKUP(A60,Customer_Master!$A$2:$A$101,Customer_Master!$E$2:$E$101)</f>
        <v>Active</v>
      </c>
      <c r="F60" s="5" t="s">
        <v>151</v>
      </c>
      <c r="G60" s="5">
        <f>_xlfn.XLOOKUP(F60,Product_Master!$A$2:$A$26,Product_Master!$C$2:$C$26)</f>
        <v>1299</v>
      </c>
      <c r="H60" s="5" t="str">
        <f>_xlfn.XLOOKUP(F60,Product_Master!$A$2:$A$26,Product_Master!$D$2:$D$26)</f>
        <v>Medium</v>
      </c>
      <c r="J60" s="5" t="s">
        <v>50</v>
      </c>
      <c r="K60" s="4">
        <v>4</v>
      </c>
      <c r="M60" s="5" t="s">
        <v>50</v>
      </c>
      <c r="N60" s="4">
        <f>SUMIF(Clean_sheet!C57:C556,client_formula_data!M60,Clean_sheet!K57:K556)</f>
        <v>7943</v>
      </c>
    </row>
    <row r="61" spans="1:14" x14ac:dyDescent="0.25">
      <c r="A61" s="5" t="s">
        <v>180</v>
      </c>
      <c r="B61" s="5" t="str">
        <f>_xlfn.XLOOKUP(A61,Customer_Master!$A$2:$A$101,Customer_Master!$D$2:$D$101)</f>
        <v>Silver</v>
      </c>
      <c r="C61" s="5" t="str">
        <f>_xlfn.XLOOKUP(A61,Customer_Master!$A$2:$A$101,Customer_Master!$E$2:$E$101)</f>
        <v>Active</v>
      </c>
      <c r="F61" s="5" t="s">
        <v>64</v>
      </c>
      <c r="G61" s="5">
        <f>_xlfn.XLOOKUP(F61,Product_Master!$A$2:$A$26,Product_Master!$C$2:$C$26)</f>
        <v>599</v>
      </c>
      <c r="H61" s="5" t="str">
        <f>_xlfn.XLOOKUP(F61,Product_Master!$A$2:$A$26,Product_Master!$D$2:$D$26)</f>
        <v>Low</v>
      </c>
      <c r="J61" s="5" t="s">
        <v>180</v>
      </c>
      <c r="K61" s="4">
        <v>6</v>
      </c>
      <c r="M61" s="5" t="s">
        <v>180</v>
      </c>
      <c r="N61" s="4">
        <f>SUMIF(Clean_sheet!C58:C557,client_formula_data!M61,Clean_sheet!K58:K557)</f>
        <v>16583</v>
      </c>
    </row>
    <row r="62" spans="1:14" x14ac:dyDescent="0.25">
      <c r="A62" s="5" t="s">
        <v>182</v>
      </c>
      <c r="B62" s="5" t="str">
        <f>_xlfn.XLOOKUP(A62,Customer_Master!$A$2:$A$101,Customer_Master!$D$2:$D$101)</f>
        <v>Silver</v>
      </c>
      <c r="C62" s="5" t="str">
        <f>_xlfn.XLOOKUP(A62,Customer_Master!$A$2:$A$101,Customer_Master!$E$2:$E$101)</f>
        <v>Active</v>
      </c>
      <c r="F62" s="5" t="s">
        <v>37</v>
      </c>
      <c r="G62" s="5">
        <f>_xlfn.XLOOKUP(F62,Product_Master!$A$2:$A$26,Product_Master!$C$2:$C$26)</f>
        <v>1999</v>
      </c>
      <c r="H62" s="5" t="str">
        <f>_xlfn.XLOOKUP(F62,Product_Master!$A$2:$A$26,Product_Master!$D$2:$D$26)</f>
        <v>High</v>
      </c>
      <c r="J62" s="5" t="s">
        <v>182</v>
      </c>
      <c r="K62" s="4">
        <v>4</v>
      </c>
      <c r="M62" s="5" t="s">
        <v>182</v>
      </c>
      <c r="N62" s="4">
        <f>SUMIF(Clean_sheet!C59:C558,client_formula_data!M62,Clean_sheet!K59:K558)</f>
        <v>16289</v>
      </c>
    </row>
    <row r="63" spans="1:14" x14ac:dyDescent="0.25">
      <c r="A63" s="5" t="s">
        <v>27</v>
      </c>
      <c r="B63" s="5" t="str">
        <f>_xlfn.XLOOKUP(A63,Customer_Master!$A$2:$A$101,Customer_Master!$D$2:$D$101)</f>
        <v>Gold</v>
      </c>
      <c r="C63" s="5" t="str">
        <f>_xlfn.XLOOKUP(A63,Customer_Master!$A$2:$A$101,Customer_Master!$E$2:$E$101)</f>
        <v>Active</v>
      </c>
      <c r="F63" s="5" t="s">
        <v>171</v>
      </c>
      <c r="G63" s="5">
        <f>_xlfn.XLOOKUP(F63,Product_Master!$A$2:$A$26,Product_Master!$C$2:$C$26)</f>
        <v>299</v>
      </c>
      <c r="H63" s="5" t="str">
        <f>_xlfn.XLOOKUP(F63,Product_Master!$A$2:$A$26,Product_Master!$D$2:$D$26)</f>
        <v>High</v>
      </c>
      <c r="J63" s="5" t="s">
        <v>27</v>
      </c>
      <c r="K63" s="4">
        <v>5</v>
      </c>
      <c r="M63" s="5" t="s">
        <v>27</v>
      </c>
      <c r="N63" s="4">
        <f>SUMIF(Clean_sheet!C60:C559,client_formula_data!M63,Clean_sheet!K60:K559)</f>
        <v>15590</v>
      </c>
    </row>
    <row r="64" spans="1:14" x14ac:dyDescent="0.25">
      <c r="A64" s="5" t="s">
        <v>105</v>
      </c>
      <c r="B64" s="5" t="str">
        <f>_xlfn.XLOOKUP(A64,Customer_Master!$A$2:$A$101,Customer_Master!$D$2:$D$101)</f>
        <v>Silver</v>
      </c>
      <c r="C64" s="5" t="str">
        <f>_xlfn.XLOOKUP(A64,Customer_Master!$A$2:$A$101,Customer_Master!$E$2:$E$101)</f>
        <v>Active</v>
      </c>
      <c r="F64" s="5" t="s">
        <v>69</v>
      </c>
      <c r="G64" s="5">
        <f>_xlfn.XLOOKUP(F64,Product_Master!$A$2:$A$26,Product_Master!$C$2:$C$26)</f>
        <v>499</v>
      </c>
      <c r="H64" s="5" t="str">
        <f>_xlfn.XLOOKUP(F64,Product_Master!$A$2:$A$26,Product_Master!$D$2:$D$26)</f>
        <v>Medium</v>
      </c>
      <c r="J64" s="5" t="s">
        <v>105</v>
      </c>
      <c r="K64" s="4">
        <v>6</v>
      </c>
      <c r="M64" s="5" t="s">
        <v>105</v>
      </c>
      <c r="N64" s="4">
        <f>SUMIF(Clean_sheet!C61:C560,client_formula_data!M64,Clean_sheet!K61:K560)</f>
        <v>13487</v>
      </c>
    </row>
    <row r="65" spans="1:14" x14ac:dyDescent="0.25">
      <c r="A65" s="5" t="s">
        <v>186</v>
      </c>
      <c r="B65" s="5" t="str">
        <f>_xlfn.XLOOKUP(A65,Customer_Master!$A$2:$A$101,Customer_Master!$D$2:$D$101)</f>
        <v>Platinum</v>
      </c>
      <c r="C65" s="5" t="str">
        <f>_xlfn.XLOOKUP(A65,Customer_Master!$A$2:$A$101,Customer_Master!$E$2:$E$101)</f>
        <v>Inactive</v>
      </c>
      <c r="F65" s="5" t="s">
        <v>73</v>
      </c>
      <c r="G65" s="5">
        <f>_xlfn.XLOOKUP(F65,Product_Master!$A$2:$A$26,Product_Master!$C$2:$C$26)</f>
        <v>1499</v>
      </c>
      <c r="H65" s="5" t="str">
        <f>_xlfn.XLOOKUP(F65,Product_Master!$A$2:$A$26,Product_Master!$D$2:$D$26)</f>
        <v>Medium</v>
      </c>
      <c r="J65" s="5" t="s">
        <v>186</v>
      </c>
      <c r="K65" s="4">
        <v>6</v>
      </c>
      <c r="M65" s="5" t="s">
        <v>186</v>
      </c>
      <c r="N65" s="4">
        <f>SUMIF(Clean_sheet!C62:C561,client_formula_data!M65,Clean_sheet!K62:K561)</f>
        <v>5690</v>
      </c>
    </row>
    <row r="66" spans="1:14" x14ac:dyDescent="0.25">
      <c r="A66" s="5" t="s">
        <v>188</v>
      </c>
      <c r="B66" s="5" t="str">
        <f>_xlfn.XLOOKUP(A66,Customer_Master!$A$2:$A$101,Customer_Master!$D$2:$D$101)</f>
        <v>Platinum</v>
      </c>
      <c r="C66" s="5" t="str">
        <f>_xlfn.XLOOKUP(A66,Customer_Master!$A$2:$A$101,Customer_Master!$E$2:$E$101)</f>
        <v>Inactive</v>
      </c>
      <c r="F66" s="5" t="s">
        <v>52</v>
      </c>
      <c r="G66" s="5">
        <f>_xlfn.XLOOKUP(F66,Product_Master!$A$2:$A$26,Product_Master!$C$2:$C$26)</f>
        <v>299</v>
      </c>
      <c r="H66" s="5" t="str">
        <f>_xlfn.XLOOKUP(F66,Product_Master!$A$2:$A$26,Product_Master!$D$2:$D$26)</f>
        <v>Medium</v>
      </c>
      <c r="J66" s="5" t="s">
        <v>188</v>
      </c>
      <c r="K66" s="4">
        <v>5</v>
      </c>
      <c r="M66" s="5" t="s">
        <v>188</v>
      </c>
      <c r="N66" s="4">
        <f>SUMIF(Clean_sheet!C63:C562,client_formula_data!M66,Clean_sheet!K63:K562)</f>
        <v>17788</v>
      </c>
    </row>
    <row r="67" spans="1:14" x14ac:dyDescent="0.25">
      <c r="A67" s="5" t="s">
        <v>190</v>
      </c>
      <c r="B67" s="5" t="str">
        <f>_xlfn.XLOOKUP(A67,Customer_Master!$A$2:$A$101,Customer_Master!$D$2:$D$101)</f>
        <v>Silver</v>
      </c>
      <c r="C67" s="5" t="str">
        <f>_xlfn.XLOOKUP(A67,Customer_Master!$A$2:$A$101,Customer_Master!$E$2:$E$101)</f>
        <v>Active</v>
      </c>
      <c r="F67" s="5" t="s">
        <v>21</v>
      </c>
      <c r="G67" s="5">
        <f>_xlfn.XLOOKUP(F67,Product_Master!$A$2:$A$26,Product_Master!$C$2:$C$26)</f>
        <v>1499</v>
      </c>
      <c r="H67" s="5" t="str">
        <f>_xlfn.XLOOKUP(F67,Product_Master!$A$2:$A$26,Product_Master!$D$2:$D$26)</f>
        <v>Low</v>
      </c>
      <c r="J67" s="5" t="s">
        <v>190</v>
      </c>
      <c r="K67" s="4">
        <v>4</v>
      </c>
      <c r="M67" s="5" t="s">
        <v>190</v>
      </c>
      <c r="N67" s="4">
        <f>SUMIF(Clean_sheet!C64:C563,client_formula_data!M67,Clean_sheet!K64:K563)</f>
        <v>9989</v>
      </c>
    </row>
    <row r="68" spans="1:14" x14ac:dyDescent="0.25">
      <c r="A68" s="5" t="s">
        <v>192</v>
      </c>
      <c r="B68" s="5" t="str">
        <f>_xlfn.XLOOKUP(A68,Customer_Master!$A$2:$A$101,Customer_Master!$D$2:$D$101)</f>
        <v>Silver</v>
      </c>
      <c r="C68" s="5" t="str">
        <f>_xlfn.XLOOKUP(A68,Customer_Master!$A$2:$A$101,Customer_Master!$E$2:$E$101)</f>
        <v>Inactive</v>
      </c>
      <c r="F68" s="5" t="s">
        <v>69</v>
      </c>
      <c r="G68" s="5">
        <f>_xlfn.XLOOKUP(F68,Product_Master!$A$2:$A$26,Product_Master!$C$2:$C$26)</f>
        <v>499</v>
      </c>
      <c r="H68" s="5" t="str">
        <f>_xlfn.XLOOKUP(F68,Product_Master!$A$2:$A$26,Product_Master!$D$2:$D$26)</f>
        <v>Medium</v>
      </c>
      <c r="J68" s="5" t="s">
        <v>192</v>
      </c>
      <c r="K68" s="4">
        <v>6</v>
      </c>
      <c r="M68" s="5" t="s">
        <v>192</v>
      </c>
      <c r="N68" s="4">
        <f>SUMIF(Clean_sheet!C65:C564,client_formula_data!M68,Clean_sheet!K65:K564)</f>
        <v>30624</v>
      </c>
    </row>
    <row r="69" spans="1:14" x14ac:dyDescent="0.25">
      <c r="A69" s="5" t="s">
        <v>34</v>
      </c>
      <c r="B69" s="5" t="str">
        <f>_xlfn.XLOOKUP(A69,Customer_Master!$A$2:$A$101,Customer_Master!$D$2:$D$101)</f>
        <v>Platinum</v>
      </c>
      <c r="C69" s="5" t="str">
        <f>_xlfn.XLOOKUP(A69,Customer_Master!$A$2:$A$101,Customer_Master!$E$2:$E$101)</f>
        <v>Inactive</v>
      </c>
      <c r="F69" s="5" t="s">
        <v>73</v>
      </c>
      <c r="G69" s="5">
        <f>_xlfn.XLOOKUP(F69,Product_Master!$A$2:$A$26,Product_Master!$C$2:$C$26)</f>
        <v>1499</v>
      </c>
      <c r="H69" s="5" t="str">
        <f>_xlfn.XLOOKUP(F69,Product_Master!$A$2:$A$26,Product_Master!$D$2:$D$26)</f>
        <v>Medium</v>
      </c>
      <c r="J69" s="5" t="s">
        <v>34</v>
      </c>
      <c r="K69" s="4">
        <v>7</v>
      </c>
      <c r="M69" s="5" t="s">
        <v>34</v>
      </c>
      <c r="N69" s="4">
        <f>SUMIF(Clean_sheet!C66:C565,client_formula_data!M69,Clean_sheet!K66:K565)</f>
        <v>13283</v>
      </c>
    </row>
    <row r="70" spans="1:14" x14ac:dyDescent="0.25">
      <c r="A70" s="5" t="s">
        <v>139</v>
      </c>
      <c r="B70" s="5" t="str">
        <f>_xlfn.XLOOKUP(A70,Customer_Master!$A$2:$A$101,Customer_Master!$D$2:$D$101)</f>
        <v>Silver</v>
      </c>
      <c r="C70" s="5" t="str">
        <f>_xlfn.XLOOKUP(A70,Customer_Master!$A$2:$A$101,Customer_Master!$E$2:$E$101)</f>
        <v>Active</v>
      </c>
      <c r="F70" s="5" t="s">
        <v>120</v>
      </c>
      <c r="G70" s="5">
        <f>_xlfn.XLOOKUP(F70,Product_Master!$A$2:$A$26,Product_Master!$C$2:$C$26)</f>
        <v>299</v>
      </c>
      <c r="H70" s="5" t="str">
        <f>_xlfn.XLOOKUP(F70,Product_Master!$A$2:$A$26,Product_Master!$D$2:$D$26)</f>
        <v>Medium</v>
      </c>
      <c r="J70" s="5" t="s">
        <v>139</v>
      </c>
      <c r="K70" s="4">
        <v>5</v>
      </c>
      <c r="M70" s="5" t="s">
        <v>139</v>
      </c>
      <c r="N70" s="4">
        <f>SUMIF(Clean_sheet!C67:C566,client_formula_data!M70,Clean_sheet!K67:K566)</f>
        <v>12387</v>
      </c>
    </row>
    <row r="71" spans="1:14" x14ac:dyDescent="0.25">
      <c r="A71" s="5" t="s">
        <v>197</v>
      </c>
      <c r="B71" s="5" t="str">
        <f>_xlfn.XLOOKUP(A71,Customer_Master!$A$2:$A$101,Customer_Master!$D$2:$D$101)</f>
        <v>Platinum</v>
      </c>
      <c r="C71" s="5" t="str">
        <f>_xlfn.XLOOKUP(A71,Customer_Master!$A$2:$A$101,Customer_Master!$E$2:$E$101)</f>
        <v>Inactive</v>
      </c>
      <c r="F71" s="5" t="s">
        <v>73</v>
      </c>
      <c r="G71" s="5">
        <f>_xlfn.XLOOKUP(F71,Product_Master!$A$2:$A$26,Product_Master!$C$2:$C$26)</f>
        <v>1499</v>
      </c>
      <c r="H71" s="5" t="str">
        <f>_xlfn.XLOOKUP(F71,Product_Master!$A$2:$A$26,Product_Master!$D$2:$D$26)</f>
        <v>Medium</v>
      </c>
      <c r="J71" s="5" t="s">
        <v>197</v>
      </c>
      <c r="K71" s="4">
        <v>4</v>
      </c>
      <c r="M71" s="5" t="s">
        <v>197</v>
      </c>
      <c r="N71" s="4">
        <f>SUMIF(Clean_sheet!C68:C567,client_formula_data!M71,Clean_sheet!K68:K567)</f>
        <v>6991</v>
      </c>
    </row>
    <row r="72" spans="1:14" x14ac:dyDescent="0.25">
      <c r="A72" s="5" t="s">
        <v>199</v>
      </c>
      <c r="B72" s="5" t="str">
        <f>_xlfn.XLOOKUP(A72,Customer_Master!$A$2:$A$101,Customer_Master!$D$2:$D$101)</f>
        <v>Gold</v>
      </c>
      <c r="C72" s="5" t="str">
        <f>_xlfn.XLOOKUP(A72,Customer_Master!$A$2:$A$101,Customer_Master!$E$2:$E$101)</f>
        <v>Inactive</v>
      </c>
      <c r="F72" s="5" t="s">
        <v>200</v>
      </c>
      <c r="G72" s="5">
        <f>_xlfn.XLOOKUP(F72,Product_Master!$A$2:$A$26,Product_Master!$C$2:$C$26)</f>
        <v>1299</v>
      </c>
      <c r="H72" s="5" t="str">
        <f>_xlfn.XLOOKUP(F72,Product_Master!$A$2:$A$26,Product_Master!$D$2:$D$26)</f>
        <v>High</v>
      </c>
      <c r="J72" s="5" t="s">
        <v>199</v>
      </c>
      <c r="K72" s="4">
        <v>4</v>
      </c>
      <c r="M72" s="5" t="s">
        <v>199</v>
      </c>
      <c r="N72" s="4">
        <f>SUMIF(Clean_sheet!C69:C568,client_formula_data!M72,Clean_sheet!K69:K568)</f>
        <v>9939</v>
      </c>
    </row>
    <row r="73" spans="1:14" x14ac:dyDescent="0.25">
      <c r="A73" s="5" t="s">
        <v>202</v>
      </c>
      <c r="B73" s="5" t="str">
        <f>_xlfn.XLOOKUP(A73,Customer_Master!$A$2:$A$101,Customer_Master!$D$2:$D$101)</f>
        <v>Platinum</v>
      </c>
      <c r="C73" s="5" t="str">
        <f>_xlfn.XLOOKUP(A73,Customer_Master!$A$2:$A$101,Customer_Master!$E$2:$E$101)</f>
        <v>Active</v>
      </c>
      <c r="F73" s="5" t="s">
        <v>156</v>
      </c>
      <c r="G73" s="5">
        <f>_xlfn.XLOOKUP(F73,Product_Master!$A$2:$A$26,Product_Master!$C$2:$C$26)</f>
        <v>599</v>
      </c>
      <c r="H73" s="5" t="str">
        <f>_xlfn.XLOOKUP(F73,Product_Master!$A$2:$A$26,Product_Master!$D$2:$D$26)</f>
        <v>High</v>
      </c>
      <c r="J73" s="5" t="s">
        <v>202</v>
      </c>
      <c r="K73" s="4">
        <v>5</v>
      </c>
      <c r="M73" s="5" t="s">
        <v>202</v>
      </c>
      <c r="N73" s="4">
        <f>SUMIF(Clean_sheet!C70:C569,client_formula_data!M73,Clean_sheet!K70:K569)</f>
        <v>8691</v>
      </c>
    </row>
    <row r="74" spans="1:14" x14ac:dyDescent="0.25">
      <c r="A74" s="5" t="s">
        <v>205</v>
      </c>
      <c r="B74" s="5" t="str">
        <f>_xlfn.XLOOKUP(A74,Customer_Master!$A$2:$A$101,Customer_Master!$D$2:$D$101)</f>
        <v>Silver</v>
      </c>
      <c r="C74" s="5" t="str">
        <f>_xlfn.XLOOKUP(A74,Customer_Master!$A$2:$A$101,Customer_Master!$E$2:$E$101)</f>
        <v>Active</v>
      </c>
      <c r="F74" s="5" t="s">
        <v>156</v>
      </c>
      <c r="G74" s="5">
        <f>_xlfn.XLOOKUP(F74,Product_Master!$A$2:$A$26,Product_Master!$C$2:$C$26)</f>
        <v>599</v>
      </c>
      <c r="H74" s="5" t="str">
        <f>_xlfn.XLOOKUP(F74,Product_Master!$A$2:$A$26,Product_Master!$D$2:$D$26)</f>
        <v>High</v>
      </c>
      <c r="J74" s="5" t="s">
        <v>205</v>
      </c>
      <c r="K74" s="4">
        <v>5</v>
      </c>
      <c r="M74" s="5" t="s">
        <v>205</v>
      </c>
      <c r="N74" s="4">
        <f>SUMIF(Clean_sheet!C71:C570,client_formula_data!M74,Clean_sheet!K71:K570)</f>
        <v>6488</v>
      </c>
    </row>
    <row r="75" spans="1:14" x14ac:dyDescent="0.25">
      <c r="A75" s="5" t="s">
        <v>107</v>
      </c>
      <c r="B75" s="5" t="str">
        <f>_xlfn.XLOOKUP(A75,Customer_Master!$A$2:$A$101,Customer_Master!$D$2:$D$101)</f>
        <v>Regular</v>
      </c>
      <c r="C75" s="5" t="str">
        <f>_xlfn.XLOOKUP(A75,Customer_Master!$A$2:$A$101,Customer_Master!$E$2:$E$101)</f>
        <v>Active</v>
      </c>
      <c r="F75" s="5" t="s">
        <v>102</v>
      </c>
      <c r="G75" s="5">
        <f>_xlfn.XLOOKUP(F75,Product_Master!$A$2:$A$26,Product_Master!$C$2:$C$26)</f>
        <v>499</v>
      </c>
      <c r="H75" s="5" t="str">
        <f>_xlfn.XLOOKUP(F75,Product_Master!$A$2:$A$26,Product_Master!$D$2:$D$26)</f>
        <v>Medium</v>
      </c>
      <c r="J75" s="5" t="s">
        <v>107</v>
      </c>
      <c r="K75" s="4">
        <v>5</v>
      </c>
      <c r="M75" s="5" t="s">
        <v>107</v>
      </c>
      <c r="N75" s="4">
        <f>SUMIF(Clean_sheet!C72:C571,client_formula_data!M75,Clean_sheet!K72:K571)</f>
        <v>10386</v>
      </c>
    </row>
    <row r="76" spans="1:14" x14ac:dyDescent="0.25">
      <c r="A76" s="5" t="s">
        <v>56</v>
      </c>
      <c r="B76" s="5" t="str">
        <f>_xlfn.XLOOKUP(A76,Customer_Master!$A$2:$A$101,Customer_Master!$D$2:$D$101)</f>
        <v>Regular</v>
      </c>
      <c r="C76" s="5" t="str">
        <f>_xlfn.XLOOKUP(A76,Customer_Master!$A$2:$A$101,Customer_Master!$E$2:$E$101)</f>
        <v>Active</v>
      </c>
      <c r="F76" s="5" t="s">
        <v>94</v>
      </c>
      <c r="G76" s="5">
        <f>_xlfn.XLOOKUP(F76,Product_Master!$A$2:$A$26,Product_Master!$C$2:$C$26)</f>
        <v>999</v>
      </c>
      <c r="H76" s="5" t="str">
        <f>_xlfn.XLOOKUP(F76,Product_Master!$A$2:$A$26,Product_Master!$D$2:$D$26)</f>
        <v>Medium</v>
      </c>
      <c r="J76" s="5" t="s">
        <v>56</v>
      </c>
      <c r="K76" s="4">
        <v>10</v>
      </c>
      <c r="M76" s="5" t="s">
        <v>56</v>
      </c>
      <c r="N76" s="4">
        <f>SUMIF(Clean_sheet!C73:C572,client_formula_data!M76,Clean_sheet!K73:K572)</f>
        <v>15775</v>
      </c>
    </row>
    <row r="77" spans="1:14" x14ac:dyDescent="0.25">
      <c r="A77" s="5" t="s">
        <v>209</v>
      </c>
      <c r="B77" s="5" t="str">
        <f>_xlfn.XLOOKUP(A77,Customer_Master!$A$2:$A$101,Customer_Master!$D$2:$D$101)</f>
        <v>Gold</v>
      </c>
      <c r="C77" s="5" t="str">
        <f>_xlfn.XLOOKUP(A77,Customer_Master!$A$2:$A$101,Customer_Master!$E$2:$E$101)</f>
        <v>Active</v>
      </c>
      <c r="F77" s="5" t="s">
        <v>30</v>
      </c>
      <c r="G77" s="5">
        <f>_xlfn.XLOOKUP(F77,Product_Master!$A$2:$A$26,Product_Master!$C$2:$C$26)</f>
        <v>799</v>
      </c>
      <c r="H77" s="5" t="str">
        <f>_xlfn.XLOOKUP(F77,Product_Master!$A$2:$A$26,Product_Master!$D$2:$D$26)</f>
        <v>High</v>
      </c>
      <c r="J77" s="5" t="s">
        <v>209</v>
      </c>
      <c r="K77" s="4">
        <v>7</v>
      </c>
      <c r="M77" s="5" t="s">
        <v>209</v>
      </c>
      <c r="N77" s="4">
        <f>SUMIF(Clean_sheet!C74:C573,client_formula_data!M77,Clean_sheet!K74:K573)</f>
        <v>15032</v>
      </c>
    </row>
    <row r="78" spans="1:14" x14ac:dyDescent="0.25">
      <c r="A78" s="5" t="s">
        <v>119</v>
      </c>
      <c r="B78" s="5" t="str">
        <f>_xlfn.XLOOKUP(A78,Customer_Master!$A$2:$A$101,Customer_Master!$D$2:$D$101)</f>
        <v>Regular</v>
      </c>
      <c r="C78" s="5" t="str">
        <f>_xlfn.XLOOKUP(A78,Customer_Master!$A$2:$A$101,Customer_Master!$E$2:$E$101)</f>
        <v>Inactive</v>
      </c>
      <c r="F78" s="5" t="s">
        <v>156</v>
      </c>
      <c r="G78" s="5">
        <f>_xlfn.XLOOKUP(F78,Product_Master!$A$2:$A$26,Product_Master!$C$2:$C$26)</f>
        <v>599</v>
      </c>
      <c r="H78" s="5" t="str">
        <f>_xlfn.XLOOKUP(F78,Product_Master!$A$2:$A$26,Product_Master!$D$2:$D$26)</f>
        <v>High</v>
      </c>
      <c r="J78" s="5" t="s">
        <v>119</v>
      </c>
      <c r="K78" s="4">
        <v>8</v>
      </c>
      <c r="M78" s="5" t="s">
        <v>119</v>
      </c>
      <c r="N78" s="4">
        <f>SUMIF(Clean_sheet!C75:C574,client_formula_data!M78,Clean_sheet!K75:K574)</f>
        <v>16381</v>
      </c>
    </row>
    <row r="79" spans="1:14" x14ac:dyDescent="0.25">
      <c r="A79" s="5" t="s">
        <v>213</v>
      </c>
      <c r="B79" s="5" t="str">
        <f>_xlfn.XLOOKUP(A79,Customer_Master!$A$2:$A$101,Customer_Master!$D$2:$D$101)</f>
        <v>Silver</v>
      </c>
      <c r="C79" s="5" t="str">
        <f>_xlfn.XLOOKUP(A79,Customer_Master!$A$2:$A$101,Customer_Master!$E$2:$E$101)</f>
        <v>Inactive</v>
      </c>
      <c r="F79" s="5" t="s">
        <v>102</v>
      </c>
      <c r="G79" s="5">
        <f>_xlfn.XLOOKUP(F79,Product_Master!$A$2:$A$26,Product_Master!$C$2:$C$26)</f>
        <v>499</v>
      </c>
      <c r="H79" s="5" t="str">
        <f>_xlfn.XLOOKUP(F79,Product_Master!$A$2:$A$26,Product_Master!$D$2:$D$26)</f>
        <v>Medium</v>
      </c>
      <c r="J79" s="5" t="s">
        <v>213</v>
      </c>
      <c r="K79" s="4">
        <v>6</v>
      </c>
      <c r="M79" s="5" t="s">
        <v>213</v>
      </c>
      <c r="N79" s="4">
        <f>SUMIF(Clean_sheet!C76:C575,client_formula_data!M79,Clean_sheet!K76:K575)</f>
        <v>13885</v>
      </c>
    </row>
    <row r="80" spans="1:14" x14ac:dyDescent="0.25">
      <c r="A80" s="5" t="s">
        <v>199</v>
      </c>
      <c r="B80" s="5" t="str">
        <f>_xlfn.XLOOKUP(A80,Customer_Master!$A$2:$A$101,Customer_Master!$D$2:$D$101)</f>
        <v>Gold</v>
      </c>
      <c r="C80" s="5" t="str">
        <f>_xlfn.XLOOKUP(A80,Customer_Master!$A$2:$A$101,Customer_Master!$E$2:$E$101)</f>
        <v>Inactive</v>
      </c>
      <c r="F80" s="5" t="s">
        <v>73</v>
      </c>
      <c r="G80" s="5">
        <f>_xlfn.XLOOKUP(F80,Product_Master!$A$2:$A$26,Product_Master!$C$2:$C$26)</f>
        <v>1499</v>
      </c>
      <c r="H80" s="5" t="str">
        <f>_xlfn.XLOOKUP(F80,Product_Master!$A$2:$A$26,Product_Master!$D$2:$D$26)</f>
        <v>Medium</v>
      </c>
      <c r="J80" s="5" t="s">
        <v>199</v>
      </c>
      <c r="K80" s="4">
        <v>4</v>
      </c>
      <c r="M80" s="5" t="s">
        <v>199</v>
      </c>
      <c r="N80" s="4">
        <f>SUMIF(Clean_sheet!C77:C576,client_formula_data!M80,Clean_sheet!K77:K576)</f>
        <v>5442</v>
      </c>
    </row>
    <row r="81" spans="1:14" x14ac:dyDescent="0.25">
      <c r="A81" s="5" t="s">
        <v>180</v>
      </c>
      <c r="B81" s="5" t="str">
        <f>_xlfn.XLOOKUP(A81,Customer_Master!$A$2:$A$101,Customer_Master!$D$2:$D$101)</f>
        <v>Silver</v>
      </c>
      <c r="C81" s="5" t="str">
        <f>_xlfn.XLOOKUP(A81,Customer_Master!$A$2:$A$101,Customer_Master!$E$2:$E$101)</f>
        <v>Active</v>
      </c>
      <c r="F81" s="5" t="s">
        <v>45</v>
      </c>
      <c r="G81" s="5">
        <f>_xlfn.XLOOKUP(F81,Product_Master!$A$2:$A$26,Product_Master!$C$2:$C$26)</f>
        <v>249</v>
      </c>
      <c r="H81" s="5" t="str">
        <f>_xlfn.XLOOKUP(F81,Product_Master!$A$2:$A$26,Product_Master!$D$2:$D$26)</f>
        <v>High</v>
      </c>
      <c r="J81" s="5" t="s">
        <v>180</v>
      </c>
      <c r="K81" s="4">
        <v>6</v>
      </c>
      <c r="M81" s="5" t="s">
        <v>180</v>
      </c>
      <c r="N81" s="4">
        <f>SUMIF(Clean_sheet!C78:C577,client_formula_data!M81,Clean_sheet!K78:K577)</f>
        <v>16384</v>
      </c>
    </row>
    <row r="82" spans="1:14" x14ac:dyDescent="0.25">
      <c r="A82" s="5" t="s">
        <v>142</v>
      </c>
      <c r="B82" s="5" t="str">
        <f>_xlfn.XLOOKUP(A82,Customer_Master!$A$2:$A$101,Customer_Master!$D$2:$D$101)</f>
        <v>Gold</v>
      </c>
      <c r="C82" s="5" t="str">
        <f>_xlfn.XLOOKUP(A82,Customer_Master!$A$2:$A$101,Customer_Master!$E$2:$E$101)</f>
        <v>Inactive</v>
      </c>
      <c r="F82" s="5" t="s">
        <v>30</v>
      </c>
      <c r="G82" s="5">
        <f>_xlfn.XLOOKUP(F82,Product_Master!$A$2:$A$26,Product_Master!$C$2:$C$26)</f>
        <v>799</v>
      </c>
      <c r="H82" s="5" t="str">
        <f>_xlfn.XLOOKUP(F82,Product_Master!$A$2:$A$26,Product_Master!$D$2:$D$26)</f>
        <v>High</v>
      </c>
      <c r="J82" s="5" t="s">
        <v>142</v>
      </c>
      <c r="K82" s="4">
        <v>5</v>
      </c>
      <c r="M82" s="5" t="s">
        <v>142</v>
      </c>
      <c r="N82" s="4">
        <f>SUMIF(Clean_sheet!C79:C578,client_formula_data!M82,Clean_sheet!K79:K578)</f>
        <v>10191</v>
      </c>
    </row>
    <row r="83" spans="1:14" x14ac:dyDescent="0.25">
      <c r="A83" s="5" t="s">
        <v>218</v>
      </c>
      <c r="B83" s="5" t="str">
        <f>_xlfn.XLOOKUP(A83,Customer_Master!$A$2:$A$101,Customer_Master!$D$2:$D$101)</f>
        <v>Silver</v>
      </c>
      <c r="C83" s="5" t="str">
        <f>_xlfn.XLOOKUP(A83,Customer_Master!$A$2:$A$101,Customer_Master!$E$2:$E$101)</f>
        <v>Inactive</v>
      </c>
      <c r="F83" s="5" t="s">
        <v>120</v>
      </c>
      <c r="G83" s="5">
        <f>_xlfn.XLOOKUP(F83,Product_Master!$A$2:$A$26,Product_Master!$C$2:$C$26)</f>
        <v>299</v>
      </c>
      <c r="H83" s="5" t="str">
        <f>_xlfn.XLOOKUP(F83,Product_Master!$A$2:$A$26,Product_Master!$D$2:$D$26)</f>
        <v>Medium</v>
      </c>
      <c r="J83" s="5" t="s">
        <v>218</v>
      </c>
      <c r="K83" s="4">
        <v>7</v>
      </c>
      <c r="M83" s="5" t="s">
        <v>218</v>
      </c>
      <c r="N83" s="4">
        <f>SUMIF(Clean_sheet!C80:C579,client_formula_data!M83,Clean_sheet!K80:K579)</f>
        <v>23724</v>
      </c>
    </row>
    <row r="84" spans="1:14" x14ac:dyDescent="0.25">
      <c r="A84" s="5" t="s">
        <v>75</v>
      </c>
      <c r="B84" s="5" t="str">
        <f>_xlfn.XLOOKUP(A84,Customer_Master!$A$2:$A$101,Customer_Master!$D$2:$D$101)</f>
        <v>Platinum</v>
      </c>
      <c r="C84" s="5" t="str">
        <f>_xlfn.XLOOKUP(A84,Customer_Master!$A$2:$A$101,Customer_Master!$E$2:$E$101)</f>
        <v>Active</v>
      </c>
      <c r="F84" s="5" t="s">
        <v>37</v>
      </c>
      <c r="G84" s="5">
        <f>_xlfn.XLOOKUP(F84,Product_Master!$A$2:$A$26,Product_Master!$C$2:$C$26)</f>
        <v>1999</v>
      </c>
      <c r="H84" s="5" t="str">
        <f>_xlfn.XLOOKUP(F84,Product_Master!$A$2:$A$26,Product_Master!$D$2:$D$26)</f>
        <v>High</v>
      </c>
      <c r="J84" s="5" t="s">
        <v>75</v>
      </c>
      <c r="K84" s="4">
        <v>11</v>
      </c>
      <c r="M84" s="5" t="s">
        <v>75</v>
      </c>
      <c r="N84" s="4">
        <f>SUMIF(Clean_sheet!C81:C580,client_formula_data!M84,Clean_sheet!K81:K580)</f>
        <v>18276</v>
      </c>
    </row>
    <row r="85" spans="1:14" x14ac:dyDescent="0.25">
      <c r="A85" s="5" t="s">
        <v>221</v>
      </c>
      <c r="B85" s="5" t="str">
        <f>_xlfn.XLOOKUP(A85,Customer_Master!$A$2:$A$101,Customer_Master!$D$2:$D$101)</f>
        <v>Regular</v>
      </c>
      <c r="C85" s="5" t="str">
        <f>_xlfn.XLOOKUP(A85,Customer_Master!$A$2:$A$101,Customer_Master!$E$2:$E$101)</f>
        <v>Inactive</v>
      </c>
      <c r="F85" s="5" t="s">
        <v>45</v>
      </c>
      <c r="G85" s="5">
        <f>_xlfn.XLOOKUP(F85,Product_Master!$A$2:$A$26,Product_Master!$C$2:$C$26)</f>
        <v>249</v>
      </c>
      <c r="H85" s="5" t="str">
        <f>_xlfn.XLOOKUP(F85,Product_Master!$A$2:$A$26,Product_Master!$D$2:$D$26)</f>
        <v>High</v>
      </c>
      <c r="J85" s="5" t="s">
        <v>221</v>
      </c>
      <c r="K85" s="4">
        <v>4</v>
      </c>
      <c r="M85" s="5" t="s">
        <v>221</v>
      </c>
      <c r="N85" s="4">
        <f>SUMIF(Clean_sheet!C82:C581,client_formula_data!M85,Clean_sheet!K82:K581)</f>
        <v>20490</v>
      </c>
    </row>
    <row r="86" spans="1:14" x14ac:dyDescent="0.25">
      <c r="A86" s="5" t="s">
        <v>199</v>
      </c>
      <c r="B86" s="5" t="str">
        <f>_xlfn.XLOOKUP(A86,Customer_Master!$A$2:$A$101,Customer_Master!$D$2:$D$101)</f>
        <v>Gold</v>
      </c>
      <c r="C86" s="5" t="str">
        <f>_xlfn.XLOOKUP(A86,Customer_Master!$A$2:$A$101,Customer_Master!$E$2:$E$101)</f>
        <v>Inactive</v>
      </c>
      <c r="F86" s="5" t="s">
        <v>171</v>
      </c>
      <c r="G86" s="5">
        <f>_xlfn.XLOOKUP(F86,Product_Master!$A$2:$A$26,Product_Master!$C$2:$C$26)</f>
        <v>299</v>
      </c>
      <c r="H86" s="5" t="str">
        <f>_xlfn.XLOOKUP(F86,Product_Master!$A$2:$A$26,Product_Master!$D$2:$D$26)</f>
        <v>High</v>
      </c>
      <c r="J86" s="5" t="s">
        <v>199</v>
      </c>
      <c r="K86" s="4">
        <v>4</v>
      </c>
      <c r="M86" s="5" t="s">
        <v>199</v>
      </c>
      <c r="N86" s="4">
        <f>SUMIF(Clean_sheet!C83:C582,client_formula_data!M86,Clean_sheet!K83:K582)</f>
        <v>4197</v>
      </c>
    </row>
    <row r="87" spans="1:14" x14ac:dyDescent="0.25">
      <c r="A87" s="5" t="s">
        <v>224</v>
      </c>
      <c r="B87" s="5" t="str">
        <f>_xlfn.XLOOKUP(A87,Customer_Master!$A$2:$A$101,Customer_Master!$D$2:$D$101)</f>
        <v>Platinum</v>
      </c>
      <c r="C87" s="5" t="str">
        <f>_xlfn.XLOOKUP(A87,Customer_Master!$A$2:$A$101,Customer_Master!$E$2:$E$101)</f>
        <v>Active</v>
      </c>
      <c r="F87" s="5" t="s">
        <v>77</v>
      </c>
      <c r="G87" s="5">
        <f>_xlfn.XLOOKUP(F87,Product_Master!$A$2:$A$26,Product_Master!$C$2:$C$26)</f>
        <v>999</v>
      </c>
      <c r="H87" s="5" t="str">
        <f>_xlfn.XLOOKUP(F87,Product_Master!$A$2:$A$26,Product_Master!$D$2:$D$26)</f>
        <v>High</v>
      </c>
      <c r="J87" s="5" t="s">
        <v>224</v>
      </c>
      <c r="K87" s="4">
        <v>7</v>
      </c>
      <c r="M87" s="5" t="s">
        <v>224</v>
      </c>
      <c r="N87" s="4">
        <f>SUMIF(Clean_sheet!C84:C583,client_formula_data!M87,Clean_sheet!K84:K583)</f>
        <v>35025</v>
      </c>
    </row>
    <row r="88" spans="1:14" x14ac:dyDescent="0.25">
      <c r="A88" s="5" t="s">
        <v>226</v>
      </c>
      <c r="B88" s="5" t="str">
        <f>_xlfn.XLOOKUP(A88,Customer_Master!$A$2:$A$101,Customer_Master!$D$2:$D$101)</f>
        <v>Gold</v>
      </c>
      <c r="C88" s="5" t="str">
        <f>_xlfn.XLOOKUP(A88,Customer_Master!$A$2:$A$101,Customer_Master!$E$2:$E$101)</f>
        <v>Inactive</v>
      </c>
      <c r="F88" s="5" t="s">
        <v>37</v>
      </c>
      <c r="G88" s="5">
        <f>_xlfn.XLOOKUP(F88,Product_Master!$A$2:$A$26,Product_Master!$C$2:$C$26)</f>
        <v>1999</v>
      </c>
      <c r="H88" s="5" t="str">
        <f>_xlfn.XLOOKUP(F88,Product_Master!$A$2:$A$26,Product_Master!$D$2:$D$26)</f>
        <v>High</v>
      </c>
      <c r="J88" s="5" t="s">
        <v>226</v>
      </c>
      <c r="K88" s="4">
        <v>4</v>
      </c>
      <c r="M88" s="5" t="s">
        <v>226</v>
      </c>
      <c r="N88" s="4">
        <f>SUMIF(Clean_sheet!C85:C584,client_formula_data!M88,Clean_sheet!K85:K584)</f>
        <v>19936</v>
      </c>
    </row>
    <row r="89" spans="1:14" x14ac:dyDescent="0.25">
      <c r="A89" s="5" t="s">
        <v>167</v>
      </c>
      <c r="B89" s="5" t="str">
        <f>_xlfn.XLOOKUP(A89,Customer_Master!$A$2:$A$101,Customer_Master!$D$2:$D$101)</f>
        <v>Gold</v>
      </c>
      <c r="C89" s="5" t="str">
        <f>_xlfn.XLOOKUP(A89,Customer_Master!$A$2:$A$101,Customer_Master!$E$2:$E$101)</f>
        <v>Active</v>
      </c>
      <c r="F89" s="5" t="s">
        <v>151</v>
      </c>
      <c r="G89" s="5">
        <f>_xlfn.XLOOKUP(F89,Product_Master!$A$2:$A$26,Product_Master!$C$2:$C$26)</f>
        <v>1299</v>
      </c>
      <c r="H89" s="5" t="str">
        <f>_xlfn.XLOOKUP(F89,Product_Master!$A$2:$A$26,Product_Master!$D$2:$D$26)</f>
        <v>Medium</v>
      </c>
      <c r="J89" s="5" t="s">
        <v>167</v>
      </c>
      <c r="K89" s="4">
        <v>2</v>
      </c>
      <c r="M89" s="5" t="s">
        <v>167</v>
      </c>
      <c r="N89" s="4">
        <f>SUMIF(Clean_sheet!C86:C585,client_formula_data!M89,Clean_sheet!K86:K585)</f>
        <v>999</v>
      </c>
    </row>
    <row r="90" spans="1:14" x14ac:dyDescent="0.25">
      <c r="A90" s="5" t="s">
        <v>229</v>
      </c>
      <c r="B90" s="5" t="str">
        <f>_xlfn.XLOOKUP(A90,Customer_Master!$A$2:$A$101,Customer_Master!$D$2:$D$101)</f>
        <v>Platinum</v>
      </c>
      <c r="C90" s="5" t="str">
        <f>_xlfn.XLOOKUP(A90,Customer_Master!$A$2:$A$101,Customer_Master!$E$2:$E$101)</f>
        <v>Active</v>
      </c>
      <c r="F90" s="5" t="s">
        <v>94</v>
      </c>
      <c r="G90" s="5">
        <f>_xlfn.XLOOKUP(F90,Product_Master!$A$2:$A$26,Product_Master!$C$2:$C$26)</f>
        <v>999</v>
      </c>
      <c r="H90" s="5" t="str">
        <f>_xlfn.XLOOKUP(F90,Product_Master!$A$2:$A$26,Product_Master!$D$2:$D$26)</f>
        <v>Medium</v>
      </c>
      <c r="J90" s="5" t="s">
        <v>229</v>
      </c>
      <c r="K90" s="4">
        <v>6</v>
      </c>
      <c r="M90" s="5" t="s">
        <v>229</v>
      </c>
      <c r="N90" s="4">
        <f>SUMIF(Clean_sheet!C87:C586,client_formula_data!M90,Clean_sheet!K87:K586)</f>
        <v>9634</v>
      </c>
    </row>
    <row r="91" spans="1:14" x14ac:dyDescent="0.25">
      <c r="A91" s="5" t="s">
        <v>202</v>
      </c>
      <c r="B91" s="5" t="str">
        <f>_xlfn.XLOOKUP(A91,Customer_Master!$A$2:$A$101,Customer_Master!$D$2:$D$101)</f>
        <v>Platinum</v>
      </c>
      <c r="C91" s="5" t="str">
        <f>_xlfn.XLOOKUP(A91,Customer_Master!$A$2:$A$101,Customer_Master!$E$2:$E$101)</f>
        <v>Active</v>
      </c>
      <c r="F91" s="5" t="s">
        <v>77</v>
      </c>
      <c r="G91" s="5">
        <f>_xlfn.XLOOKUP(F91,Product_Master!$A$2:$A$26,Product_Master!$C$2:$C$26)</f>
        <v>999</v>
      </c>
      <c r="H91" s="5" t="str">
        <f>_xlfn.XLOOKUP(F91,Product_Master!$A$2:$A$26,Product_Master!$D$2:$D$26)</f>
        <v>High</v>
      </c>
      <c r="J91" s="5" t="s">
        <v>202</v>
      </c>
      <c r="K91" s="4">
        <v>5</v>
      </c>
      <c r="M91" s="5" t="s">
        <v>202</v>
      </c>
      <c r="N91" s="4">
        <f>SUMIF(Clean_sheet!C88:C587,client_formula_data!M91,Clean_sheet!K88:K587)</f>
        <v>6692</v>
      </c>
    </row>
    <row r="92" spans="1:14" x14ac:dyDescent="0.25">
      <c r="A92" s="5" t="s">
        <v>150</v>
      </c>
      <c r="B92" s="5" t="str">
        <f>_xlfn.XLOOKUP(A92,Customer_Master!$A$2:$A$101,Customer_Master!$D$2:$D$101)</f>
        <v>Regular</v>
      </c>
      <c r="C92" s="5" t="str">
        <f>_xlfn.XLOOKUP(A92,Customer_Master!$A$2:$A$101,Customer_Master!$E$2:$E$101)</f>
        <v>Active</v>
      </c>
      <c r="F92" s="5" t="s">
        <v>156</v>
      </c>
      <c r="G92" s="5">
        <f>_xlfn.XLOOKUP(F92,Product_Master!$A$2:$A$26,Product_Master!$C$2:$C$26)</f>
        <v>599</v>
      </c>
      <c r="H92" s="5" t="str">
        <f>_xlfn.XLOOKUP(F92,Product_Master!$A$2:$A$26,Product_Master!$D$2:$D$26)</f>
        <v>High</v>
      </c>
      <c r="J92" s="5" t="s">
        <v>150</v>
      </c>
      <c r="K92" s="4">
        <v>6</v>
      </c>
      <c r="M92" s="5" t="s">
        <v>150</v>
      </c>
      <c r="N92" s="4">
        <f>SUMIF(Clean_sheet!C89:C588,client_formula_data!M92,Clean_sheet!K89:K588)</f>
        <v>14886</v>
      </c>
    </row>
    <row r="93" spans="1:14" x14ac:dyDescent="0.25">
      <c r="A93" s="5" t="s">
        <v>150</v>
      </c>
      <c r="B93" s="5" t="str">
        <f>_xlfn.XLOOKUP(A93,Customer_Master!$A$2:$A$101,Customer_Master!$D$2:$D$101)</f>
        <v>Regular</v>
      </c>
      <c r="C93" s="5" t="str">
        <f>_xlfn.XLOOKUP(A93,Customer_Master!$A$2:$A$101,Customer_Master!$E$2:$E$101)</f>
        <v>Active</v>
      </c>
      <c r="F93" s="5" t="s">
        <v>151</v>
      </c>
      <c r="G93" s="5">
        <f>_xlfn.XLOOKUP(F93,Product_Master!$A$2:$A$26,Product_Master!$C$2:$C$26)</f>
        <v>1299</v>
      </c>
      <c r="H93" s="5" t="str">
        <f>_xlfn.XLOOKUP(F93,Product_Master!$A$2:$A$26,Product_Master!$D$2:$D$26)</f>
        <v>Medium</v>
      </c>
      <c r="J93" s="5" t="s">
        <v>150</v>
      </c>
      <c r="K93" s="4">
        <v>6</v>
      </c>
      <c r="M93" s="5" t="s">
        <v>150</v>
      </c>
      <c r="N93" s="4">
        <f>SUMIF(Clean_sheet!C90:C589,client_formula_data!M93,Clean_sheet!K90:K589)</f>
        <v>8890</v>
      </c>
    </row>
    <row r="94" spans="1:14" x14ac:dyDescent="0.25">
      <c r="A94" s="5" t="s">
        <v>34</v>
      </c>
      <c r="B94" s="5" t="str">
        <f>_xlfn.XLOOKUP(A94,Customer_Master!$A$2:$A$101,Customer_Master!$D$2:$D$101)</f>
        <v>Platinum</v>
      </c>
      <c r="C94" s="5" t="str">
        <f>_xlfn.XLOOKUP(A94,Customer_Master!$A$2:$A$101,Customer_Master!$E$2:$E$101)</f>
        <v>Inactive</v>
      </c>
      <c r="F94" s="5" t="s">
        <v>30</v>
      </c>
      <c r="G94" s="5">
        <f>_xlfn.XLOOKUP(F94,Product_Master!$A$2:$A$26,Product_Master!$C$2:$C$26)</f>
        <v>799</v>
      </c>
      <c r="H94" s="5" t="str">
        <f>_xlfn.XLOOKUP(F94,Product_Master!$A$2:$A$26,Product_Master!$D$2:$D$26)</f>
        <v>High</v>
      </c>
      <c r="J94" s="5" t="s">
        <v>34</v>
      </c>
      <c r="K94" s="4">
        <v>7</v>
      </c>
      <c r="M94" s="5" t="s">
        <v>34</v>
      </c>
      <c r="N94" s="4">
        <f>SUMIF(Clean_sheet!C91:C590,client_formula_data!M94,Clean_sheet!K91:K590)</f>
        <v>8786</v>
      </c>
    </row>
    <row r="95" spans="1:14" x14ac:dyDescent="0.25">
      <c r="A95" s="5" t="s">
        <v>224</v>
      </c>
      <c r="B95" s="5" t="str">
        <f>_xlfn.XLOOKUP(A95,Customer_Master!$A$2:$A$101,Customer_Master!$D$2:$D$101)</f>
        <v>Platinum</v>
      </c>
      <c r="C95" s="5" t="str">
        <f>_xlfn.XLOOKUP(A95,Customer_Master!$A$2:$A$101,Customer_Master!$E$2:$E$101)</f>
        <v>Active</v>
      </c>
      <c r="F95" s="5" t="s">
        <v>235</v>
      </c>
      <c r="G95" s="5">
        <f>_xlfn.XLOOKUP(F95,Product_Master!$A$2:$A$26,Product_Master!$C$2:$C$26)</f>
        <v>399</v>
      </c>
      <c r="H95" s="5" t="str">
        <f>_xlfn.XLOOKUP(F95,Product_Master!$A$2:$A$26,Product_Master!$D$2:$D$26)</f>
        <v>High</v>
      </c>
      <c r="J95" s="5" t="s">
        <v>224</v>
      </c>
      <c r="K95" s="4">
        <v>7</v>
      </c>
      <c r="M95" s="5" t="s">
        <v>224</v>
      </c>
      <c r="N95" s="4">
        <f>SUMIF(Clean_sheet!C92:C591,client_formula_data!M95,Clean_sheet!K92:K591)</f>
        <v>27528</v>
      </c>
    </row>
    <row r="96" spans="1:14" x14ac:dyDescent="0.25">
      <c r="A96" s="5" t="s">
        <v>237</v>
      </c>
      <c r="B96" s="5" t="str">
        <f>_xlfn.XLOOKUP(A96,Customer_Master!$A$2:$A$101,Customer_Master!$D$2:$D$101)</f>
        <v>Gold</v>
      </c>
      <c r="C96" s="5" t="str">
        <f>_xlfn.XLOOKUP(A96,Customer_Master!$A$2:$A$101,Customer_Master!$E$2:$E$101)</f>
        <v>Inactive</v>
      </c>
      <c r="F96" s="5" t="s">
        <v>45</v>
      </c>
      <c r="G96" s="5">
        <f>_xlfn.XLOOKUP(F96,Product_Master!$A$2:$A$26,Product_Master!$C$2:$C$26)</f>
        <v>249</v>
      </c>
      <c r="H96" s="5" t="str">
        <f>_xlfn.XLOOKUP(F96,Product_Master!$A$2:$A$26,Product_Master!$D$2:$D$26)</f>
        <v>High</v>
      </c>
      <c r="J96" s="5" t="s">
        <v>237</v>
      </c>
      <c r="K96" s="4">
        <v>4</v>
      </c>
      <c r="M96" s="5" t="s">
        <v>237</v>
      </c>
      <c r="N96" s="4">
        <f>SUMIF(Clean_sheet!C93:C592,client_formula_data!M96,Clean_sheet!K93:K592)</f>
        <v>8391</v>
      </c>
    </row>
    <row r="97" spans="1:14" x14ac:dyDescent="0.25">
      <c r="A97" s="5" t="s">
        <v>239</v>
      </c>
      <c r="B97" s="5" t="str">
        <f>_xlfn.XLOOKUP(A97,Customer_Master!$A$2:$A$101,Customer_Master!$D$2:$D$101)</f>
        <v>Silver</v>
      </c>
      <c r="C97" s="5" t="str">
        <f>_xlfn.XLOOKUP(A97,Customer_Master!$A$2:$A$101,Customer_Master!$E$2:$E$101)</f>
        <v>Inactive</v>
      </c>
      <c r="F97" s="5" t="s">
        <v>73</v>
      </c>
      <c r="G97" s="5">
        <f>_xlfn.XLOOKUP(F97,Product_Master!$A$2:$A$26,Product_Master!$C$2:$C$26)</f>
        <v>1499</v>
      </c>
      <c r="H97" s="5" t="str">
        <f>_xlfn.XLOOKUP(F97,Product_Master!$A$2:$A$26,Product_Master!$D$2:$D$26)</f>
        <v>Medium</v>
      </c>
      <c r="J97" s="5" t="s">
        <v>239</v>
      </c>
      <c r="K97" s="4">
        <v>6</v>
      </c>
      <c r="M97" s="5" t="s">
        <v>239</v>
      </c>
      <c r="N97" s="4">
        <f>SUMIF(Clean_sheet!C94:C593,client_formula_data!M97,Clean_sheet!K94:K593)</f>
        <v>25377</v>
      </c>
    </row>
    <row r="98" spans="1:14" x14ac:dyDescent="0.25">
      <c r="A98" s="5" t="s">
        <v>226</v>
      </c>
      <c r="B98" s="5" t="str">
        <f>_xlfn.XLOOKUP(A98,Customer_Master!$A$2:$A$101,Customer_Master!$D$2:$D$101)</f>
        <v>Gold</v>
      </c>
      <c r="C98" s="5" t="str">
        <f>_xlfn.XLOOKUP(A98,Customer_Master!$A$2:$A$101,Customer_Master!$E$2:$E$101)</f>
        <v>Inactive</v>
      </c>
      <c r="F98" s="5" t="s">
        <v>156</v>
      </c>
      <c r="G98" s="5">
        <f>_xlfn.XLOOKUP(F98,Product_Master!$A$2:$A$26,Product_Master!$C$2:$C$26)</f>
        <v>599</v>
      </c>
      <c r="H98" s="5" t="str">
        <f>_xlfn.XLOOKUP(F98,Product_Master!$A$2:$A$26,Product_Master!$D$2:$D$26)</f>
        <v>High</v>
      </c>
      <c r="J98" s="5" t="s">
        <v>226</v>
      </c>
      <c r="K98" s="4">
        <v>4</v>
      </c>
      <c r="M98" s="5" t="s">
        <v>226</v>
      </c>
      <c r="N98" s="4">
        <f>SUMIF(Clean_sheet!C95:C594,client_formula_data!M98,Clean_sheet!K95:K594)</f>
        <v>19189</v>
      </c>
    </row>
    <row r="99" spans="1:14" x14ac:dyDescent="0.25">
      <c r="A99" s="5" t="s">
        <v>180</v>
      </c>
      <c r="B99" s="5" t="str">
        <f>_xlfn.XLOOKUP(A99,Customer_Master!$A$2:$A$101,Customer_Master!$D$2:$D$101)</f>
        <v>Silver</v>
      </c>
      <c r="C99" s="5" t="str">
        <f>_xlfn.XLOOKUP(A99,Customer_Master!$A$2:$A$101,Customer_Master!$E$2:$E$101)</f>
        <v>Active</v>
      </c>
      <c r="F99" s="5" t="s">
        <v>171</v>
      </c>
      <c r="G99" s="5">
        <f>_xlfn.XLOOKUP(F99,Product_Master!$A$2:$A$26,Product_Master!$C$2:$C$26)</f>
        <v>299</v>
      </c>
      <c r="H99" s="5" t="str">
        <f>_xlfn.XLOOKUP(F99,Product_Master!$A$2:$A$26,Product_Master!$D$2:$D$26)</f>
        <v>High</v>
      </c>
      <c r="J99" s="5" t="s">
        <v>180</v>
      </c>
      <c r="K99" s="4">
        <v>6</v>
      </c>
      <c r="M99" s="5" t="s">
        <v>180</v>
      </c>
      <c r="N99" s="4">
        <f>SUMIF(Clean_sheet!C96:C595,client_formula_data!M99,Clean_sheet!K96:K595)</f>
        <v>15785</v>
      </c>
    </row>
    <row r="100" spans="1:14" x14ac:dyDescent="0.25">
      <c r="A100" s="5" t="s">
        <v>243</v>
      </c>
      <c r="B100" s="5" t="str">
        <f>_xlfn.XLOOKUP(A100,Customer_Master!$A$2:$A$101,Customer_Master!$D$2:$D$101)</f>
        <v>Platinum</v>
      </c>
      <c r="C100" s="5" t="str">
        <f>_xlfn.XLOOKUP(A100,Customer_Master!$A$2:$A$101,Customer_Master!$E$2:$E$101)</f>
        <v>Inactive</v>
      </c>
      <c r="F100" s="5" t="s">
        <v>140</v>
      </c>
      <c r="G100" s="5">
        <f>_xlfn.XLOOKUP(F100,Product_Master!$A$2:$A$26,Product_Master!$C$2:$C$26)</f>
        <v>499</v>
      </c>
      <c r="H100" s="5" t="str">
        <f>_xlfn.XLOOKUP(F100,Product_Master!$A$2:$A$26,Product_Master!$D$2:$D$26)</f>
        <v>Medium</v>
      </c>
      <c r="J100" s="5" t="s">
        <v>243</v>
      </c>
      <c r="K100" s="4">
        <v>2</v>
      </c>
      <c r="M100" s="5" t="s">
        <v>243</v>
      </c>
      <c r="N100" s="4">
        <f>SUMIF(Clean_sheet!C97:C596,client_formula_data!M100,Clean_sheet!K97:K596)</f>
        <v>4992</v>
      </c>
    </row>
    <row r="101" spans="1:14" x14ac:dyDescent="0.25">
      <c r="A101" s="5" t="s">
        <v>50</v>
      </c>
      <c r="B101" s="5" t="str">
        <f>_xlfn.XLOOKUP(A101,Customer_Master!$A$2:$A$101,Customer_Master!$D$2:$D$101)</f>
        <v>Platinum</v>
      </c>
      <c r="C101" s="5" t="str">
        <f>_xlfn.XLOOKUP(A101,Customer_Master!$A$2:$A$101,Customer_Master!$E$2:$E$101)</f>
        <v>Active</v>
      </c>
      <c r="F101" s="5" t="s">
        <v>21</v>
      </c>
      <c r="G101" s="5">
        <f>_xlfn.XLOOKUP(F101,Product_Master!$A$2:$A$26,Product_Master!$C$2:$C$26)</f>
        <v>1499</v>
      </c>
      <c r="H101" s="5" t="str">
        <f>_xlfn.XLOOKUP(F101,Product_Master!$A$2:$A$26,Product_Master!$D$2:$D$26)</f>
        <v>Low</v>
      </c>
      <c r="J101" s="5" t="s">
        <v>50</v>
      </c>
      <c r="K101" s="4">
        <v>4</v>
      </c>
      <c r="M101" s="5" t="s">
        <v>50</v>
      </c>
      <c r="N101" s="4">
        <f>SUMIF(Clean_sheet!C98:C597,client_formula_data!M101,Clean_sheet!K98:K597)</f>
        <v>448</v>
      </c>
    </row>
    <row r="102" spans="1:14" x14ac:dyDescent="0.25">
      <c r="A102" s="5" t="s">
        <v>116</v>
      </c>
      <c r="B102" s="5" t="str">
        <f>_xlfn.XLOOKUP(A102,Customer_Master!$A$2:$A$101,Customer_Master!$D$2:$D$101)</f>
        <v>Regular</v>
      </c>
      <c r="C102" s="5" t="str">
        <f>_xlfn.XLOOKUP(A102,Customer_Master!$A$2:$A$101,Customer_Master!$E$2:$E$101)</f>
        <v>Inactive</v>
      </c>
      <c r="F102" s="5" t="s">
        <v>37</v>
      </c>
      <c r="G102" s="5">
        <f>_xlfn.XLOOKUP(F102,Product_Master!$A$2:$A$26,Product_Master!$C$2:$C$26)</f>
        <v>1999</v>
      </c>
      <c r="H102" s="5" t="str">
        <f>_xlfn.XLOOKUP(F102,Product_Master!$A$2:$A$26,Product_Master!$D$2:$D$26)</f>
        <v>High</v>
      </c>
      <c r="J102" s="5" t="s">
        <v>116</v>
      </c>
      <c r="K102" s="4">
        <v>7</v>
      </c>
      <c r="M102" s="5" t="s">
        <v>116</v>
      </c>
      <c r="N102" s="4">
        <f>SUMIF(Clean_sheet!C99:C598,client_formula_data!M102,Clean_sheet!K99:K598)</f>
        <v>24035</v>
      </c>
    </row>
    <row r="103" spans="1:14" x14ac:dyDescent="0.25">
      <c r="A103" s="5" t="s">
        <v>80</v>
      </c>
      <c r="B103" s="5" t="str">
        <f>_xlfn.XLOOKUP(A103,Customer_Master!$A$2:$A$101,Customer_Master!$D$2:$D$101)</f>
        <v>Silver</v>
      </c>
      <c r="C103" s="5" t="str">
        <f>_xlfn.XLOOKUP(A103,Customer_Master!$A$2:$A$101,Customer_Master!$E$2:$E$101)</f>
        <v>Inactive</v>
      </c>
      <c r="F103" s="5" t="s">
        <v>108</v>
      </c>
      <c r="G103" s="5">
        <f>_xlfn.XLOOKUP(F103,Product_Master!$A$2:$A$26,Product_Master!$C$2:$C$26)</f>
        <v>499</v>
      </c>
      <c r="H103" s="5" t="str">
        <f>_xlfn.XLOOKUP(F103,Product_Master!$A$2:$A$26,Product_Master!$D$2:$D$26)</f>
        <v>Medium</v>
      </c>
      <c r="J103" s="5" t="s">
        <v>80</v>
      </c>
      <c r="K103" s="4">
        <v>8</v>
      </c>
      <c r="M103" s="5" t="s">
        <v>80</v>
      </c>
      <c r="N103" s="4">
        <f>SUMIF(Clean_sheet!C100:C599,client_formula_data!M103,Clean_sheet!K100:K599)</f>
        <v>16082</v>
      </c>
    </row>
    <row r="104" spans="1:14" x14ac:dyDescent="0.25">
      <c r="A104" s="5" t="s">
        <v>213</v>
      </c>
      <c r="B104" s="5" t="str">
        <f>_xlfn.XLOOKUP(A104,Customer_Master!$A$2:$A$101,Customer_Master!$D$2:$D$101)</f>
        <v>Silver</v>
      </c>
      <c r="C104" s="5" t="str">
        <f>_xlfn.XLOOKUP(A104,Customer_Master!$A$2:$A$101,Customer_Master!$E$2:$E$101)</f>
        <v>Inactive</v>
      </c>
      <c r="F104" s="5" t="s">
        <v>52</v>
      </c>
      <c r="G104" s="5">
        <f>_xlfn.XLOOKUP(F104,Product_Master!$A$2:$A$26,Product_Master!$C$2:$C$26)</f>
        <v>299</v>
      </c>
      <c r="H104" s="5" t="str">
        <f>_xlfn.XLOOKUP(F104,Product_Master!$A$2:$A$26,Product_Master!$D$2:$D$26)</f>
        <v>Medium</v>
      </c>
      <c r="J104" s="5" t="s">
        <v>213</v>
      </c>
      <c r="K104" s="4">
        <v>6</v>
      </c>
      <c r="M104" s="5" t="s">
        <v>213</v>
      </c>
      <c r="N104" s="4">
        <f>SUMIF(Clean_sheet!C101:C600,client_formula_data!M104,Clean_sheet!K101:K600)</f>
        <v>12886</v>
      </c>
    </row>
    <row r="105" spans="1:14" x14ac:dyDescent="0.25">
      <c r="F105" s="5" t="s">
        <v>21</v>
      </c>
      <c r="G105" s="5">
        <f>_xlfn.XLOOKUP(F105,Product_Master!$A$2:$A$26,Product_Master!$C$2:$C$26)</f>
        <v>1499</v>
      </c>
      <c r="H105" s="5" t="str">
        <f>_xlfn.XLOOKUP(F105,Product_Master!$A$2:$A$26,Product_Master!$D$2:$D$26)</f>
        <v>Low</v>
      </c>
      <c r="J105" s="4" t="s">
        <v>243</v>
      </c>
      <c r="K105" s="4">
        <v>0</v>
      </c>
      <c r="M105" s="4" t="s">
        <v>243</v>
      </c>
      <c r="N105" s="4">
        <f>SUMIF(Clean_sheet!C102:C601,client_formula_data!M105,Clean_sheet!K102:K601)</f>
        <v>1995</v>
      </c>
    </row>
    <row r="106" spans="1:14" x14ac:dyDescent="0.25">
      <c r="F106" s="5" t="s">
        <v>21</v>
      </c>
      <c r="G106" s="5">
        <f>_xlfn.XLOOKUP(F106,Product_Master!$A$2:$A$26,Product_Master!$C$2:$C$26)</f>
        <v>1499</v>
      </c>
      <c r="H106" s="5" t="str">
        <f>_xlfn.XLOOKUP(F106,Product_Master!$A$2:$A$26,Product_Master!$D$2:$D$26)</f>
        <v>Low</v>
      </c>
      <c r="J106" s="4" t="s">
        <v>250</v>
      </c>
      <c r="K106" s="4">
        <v>0</v>
      </c>
      <c r="M106" s="4" t="s">
        <v>250</v>
      </c>
      <c r="N106" s="4">
        <f>SUMIF(Clean_sheet!C103:C602,client_formula_data!M106,Clean_sheet!K103:K602)</f>
        <v>23927</v>
      </c>
    </row>
    <row r="107" spans="1:14" x14ac:dyDescent="0.25">
      <c r="F107" s="5" t="s">
        <v>200</v>
      </c>
      <c r="G107" s="5">
        <f>_xlfn.XLOOKUP(F107,Product_Master!$A$2:$A$26,Product_Master!$C$2:$C$26)</f>
        <v>1299</v>
      </c>
      <c r="H107" s="5" t="str">
        <f>_xlfn.XLOOKUP(F107,Product_Master!$A$2:$A$26,Product_Master!$D$2:$D$26)</f>
        <v>High</v>
      </c>
      <c r="J107" s="4" t="s">
        <v>80</v>
      </c>
      <c r="K107" s="4">
        <v>0</v>
      </c>
      <c r="M107" s="4" t="s">
        <v>80</v>
      </c>
      <c r="N107" s="4">
        <f>SUMIF(Clean_sheet!C104:C603,client_formula_data!M107,Clean_sheet!K104:K603)</f>
        <v>12185</v>
      </c>
    </row>
    <row r="108" spans="1:14" x14ac:dyDescent="0.25">
      <c r="F108" s="5" t="s">
        <v>73</v>
      </c>
      <c r="G108" s="5">
        <f>_xlfn.XLOOKUP(F108,Product_Master!$A$2:$A$26,Product_Master!$C$2:$C$26)</f>
        <v>1499</v>
      </c>
      <c r="H108" s="5" t="str">
        <f>_xlfn.XLOOKUP(F108,Product_Master!$A$2:$A$26,Product_Master!$D$2:$D$26)</f>
        <v>Medium</v>
      </c>
      <c r="J108" s="4" t="s">
        <v>253</v>
      </c>
      <c r="K108" s="4">
        <v>0</v>
      </c>
      <c r="M108" s="4" t="s">
        <v>253</v>
      </c>
      <c r="N108" s="4">
        <f>SUMIF(Clean_sheet!C105:C604,client_formula_data!M108,Clean_sheet!K105:K604)</f>
        <v>3397</v>
      </c>
    </row>
    <row r="109" spans="1:14" x14ac:dyDescent="0.25">
      <c r="F109" s="5" t="s">
        <v>30</v>
      </c>
      <c r="G109" s="5">
        <f>_xlfn.XLOOKUP(F109,Product_Master!$A$2:$A$26,Product_Master!$C$2:$C$26)</f>
        <v>799</v>
      </c>
      <c r="H109" s="5" t="str">
        <f>_xlfn.XLOOKUP(F109,Product_Master!$A$2:$A$26,Product_Master!$D$2:$D$26)</f>
        <v>High</v>
      </c>
      <c r="J109" s="4" t="s">
        <v>255</v>
      </c>
      <c r="K109" s="4">
        <v>0</v>
      </c>
      <c r="M109" s="4" t="s">
        <v>255</v>
      </c>
      <c r="N109" s="4">
        <f>SUMIF(Clean_sheet!C106:C605,client_formula_data!M109,Clean_sheet!K106:K605)</f>
        <v>21987</v>
      </c>
    </row>
    <row r="110" spans="1:14" x14ac:dyDescent="0.25">
      <c r="F110" s="5" t="s">
        <v>151</v>
      </c>
      <c r="G110" s="5">
        <f>_xlfn.XLOOKUP(F110,Product_Master!$A$2:$A$26,Product_Master!$C$2:$C$26)</f>
        <v>1299</v>
      </c>
      <c r="H110" s="5" t="str">
        <f>_xlfn.XLOOKUP(F110,Product_Master!$A$2:$A$26,Product_Master!$D$2:$D$26)</f>
        <v>Medium</v>
      </c>
      <c r="J110" s="4" t="s">
        <v>257</v>
      </c>
      <c r="K110" s="4">
        <v>0</v>
      </c>
      <c r="M110" s="4" t="s">
        <v>257</v>
      </c>
      <c r="N110" s="4">
        <f>SUMIF(Clean_sheet!C107:C606,client_formula_data!M110,Clean_sheet!K107:K606)</f>
        <v>35272</v>
      </c>
    </row>
    <row r="111" spans="1:14" x14ac:dyDescent="0.25">
      <c r="F111" s="5" t="s">
        <v>37</v>
      </c>
      <c r="G111" s="5">
        <f>_xlfn.XLOOKUP(F111,Product_Master!$A$2:$A$26,Product_Master!$C$2:$C$26)</f>
        <v>1999</v>
      </c>
      <c r="H111" s="5" t="str">
        <f>_xlfn.XLOOKUP(F111,Product_Master!$A$2:$A$26,Product_Master!$D$2:$D$26)</f>
        <v>High</v>
      </c>
      <c r="J111" s="4" t="s">
        <v>259</v>
      </c>
      <c r="K111" s="4">
        <v>0</v>
      </c>
      <c r="M111" s="4" t="s">
        <v>259</v>
      </c>
      <c r="N111" s="4">
        <f>SUMIF(Clean_sheet!C108:C607,client_formula_data!M111,Clean_sheet!K108:K607)</f>
        <v>13086</v>
      </c>
    </row>
    <row r="112" spans="1:14" x14ac:dyDescent="0.25">
      <c r="F112" s="5" t="s">
        <v>64</v>
      </c>
      <c r="G112" s="5">
        <f>_xlfn.XLOOKUP(F112,Product_Master!$A$2:$A$26,Product_Master!$C$2:$C$26)</f>
        <v>599</v>
      </c>
      <c r="H112" s="5" t="str">
        <f>_xlfn.XLOOKUP(F112,Product_Master!$A$2:$A$26,Product_Master!$D$2:$D$26)</f>
        <v>Low</v>
      </c>
      <c r="J112" s="4" t="s">
        <v>261</v>
      </c>
      <c r="K112" s="4">
        <v>0</v>
      </c>
      <c r="M112" s="4" t="s">
        <v>261</v>
      </c>
      <c r="N112" s="4">
        <f>SUMIF(Clean_sheet!C109:C608,client_formula_data!M112,Clean_sheet!K109:K608)</f>
        <v>3794</v>
      </c>
    </row>
    <row r="113" spans="6:14" x14ac:dyDescent="0.25">
      <c r="F113" s="5" t="s">
        <v>64</v>
      </c>
      <c r="G113" s="5">
        <f>_xlfn.XLOOKUP(F113,Product_Master!$A$2:$A$26,Product_Master!$C$2:$C$26)</f>
        <v>599</v>
      </c>
      <c r="H113" s="5" t="str">
        <f>_xlfn.XLOOKUP(F113,Product_Master!$A$2:$A$26,Product_Master!$D$2:$D$26)</f>
        <v>Low</v>
      </c>
      <c r="J113" s="4" t="s">
        <v>67</v>
      </c>
      <c r="K113" s="4">
        <v>0</v>
      </c>
      <c r="M113" s="4" t="s">
        <v>67</v>
      </c>
      <c r="N113" s="4">
        <f>SUMIF(Clean_sheet!C110:C609,client_formula_data!M113,Clean_sheet!K110:K609)</f>
        <v>8093</v>
      </c>
    </row>
    <row r="114" spans="6:14" x14ac:dyDescent="0.25">
      <c r="F114" s="5" t="s">
        <v>171</v>
      </c>
      <c r="G114" s="5">
        <f>_xlfn.XLOOKUP(F114,Product_Master!$A$2:$A$26,Product_Master!$C$2:$C$26)</f>
        <v>299</v>
      </c>
      <c r="H114" s="5" t="str">
        <f>_xlfn.XLOOKUP(F114,Product_Master!$A$2:$A$26,Product_Master!$D$2:$D$26)</f>
        <v>High</v>
      </c>
      <c r="J114" s="4" t="s">
        <v>107</v>
      </c>
      <c r="K114" s="4">
        <v>0</v>
      </c>
      <c r="M114" s="4" t="s">
        <v>107</v>
      </c>
      <c r="N114" s="4">
        <f>SUMIF(Clean_sheet!C111:C610,client_formula_data!M114,Clean_sheet!K111:K610)</f>
        <v>3891</v>
      </c>
    </row>
    <row r="115" spans="6:14" x14ac:dyDescent="0.25">
      <c r="F115" s="5" t="s">
        <v>77</v>
      </c>
      <c r="G115" s="5">
        <f>_xlfn.XLOOKUP(F115,Product_Master!$A$2:$A$26,Product_Master!$C$2:$C$26)</f>
        <v>999</v>
      </c>
      <c r="H115" s="5" t="str">
        <f>_xlfn.XLOOKUP(F115,Product_Master!$A$2:$A$26,Product_Master!$D$2:$D$26)</f>
        <v>High</v>
      </c>
      <c r="J115" s="4" t="s">
        <v>105</v>
      </c>
      <c r="K115" s="4">
        <v>0</v>
      </c>
      <c r="M115" s="4" t="s">
        <v>105</v>
      </c>
      <c r="N115" s="4">
        <f>SUMIF(Clean_sheet!C112:C611,client_formula_data!M115,Clean_sheet!K112:K611)</f>
        <v>8990</v>
      </c>
    </row>
    <row r="116" spans="6:14" x14ac:dyDescent="0.25">
      <c r="F116" s="5" t="s">
        <v>73</v>
      </c>
      <c r="G116" s="5">
        <f>_xlfn.XLOOKUP(F116,Product_Master!$A$2:$A$26,Product_Master!$C$2:$C$26)</f>
        <v>1499</v>
      </c>
      <c r="H116" s="5" t="str">
        <f>_xlfn.XLOOKUP(F116,Product_Master!$A$2:$A$26,Product_Master!$D$2:$D$26)</f>
        <v>Medium</v>
      </c>
      <c r="J116" s="4" t="s">
        <v>266</v>
      </c>
      <c r="K116" s="4">
        <v>0</v>
      </c>
      <c r="M116" s="4" t="s">
        <v>266</v>
      </c>
      <c r="N116" s="4">
        <f>SUMIF(Clean_sheet!C113:C612,client_formula_data!M116,Clean_sheet!K113:K612)</f>
        <v>13582</v>
      </c>
    </row>
    <row r="117" spans="6:14" x14ac:dyDescent="0.25">
      <c r="F117" s="5" t="s">
        <v>45</v>
      </c>
      <c r="G117" s="5">
        <f>_xlfn.XLOOKUP(F117,Product_Master!$A$2:$A$26,Product_Master!$C$2:$C$26)</f>
        <v>249</v>
      </c>
      <c r="H117" s="5" t="str">
        <f>_xlfn.XLOOKUP(F117,Product_Master!$A$2:$A$26,Product_Master!$D$2:$D$26)</f>
        <v>High</v>
      </c>
      <c r="J117" s="4" t="s">
        <v>192</v>
      </c>
      <c r="K117" s="4">
        <v>0</v>
      </c>
      <c r="M117" s="4" t="s">
        <v>192</v>
      </c>
      <c r="N117" s="4">
        <f>SUMIF(Clean_sheet!C114:C613,client_formula_data!M117,Clean_sheet!K114:K613)</f>
        <v>29628</v>
      </c>
    </row>
    <row r="118" spans="6:14" x14ac:dyDescent="0.25">
      <c r="F118" s="5" t="s">
        <v>99</v>
      </c>
      <c r="G118" s="5">
        <f>_xlfn.XLOOKUP(F118,Product_Master!$A$2:$A$26,Product_Master!$C$2:$C$26)</f>
        <v>1499</v>
      </c>
      <c r="H118" s="5" t="str">
        <f>_xlfn.XLOOKUP(F118,Product_Master!$A$2:$A$26,Product_Master!$D$2:$D$26)</f>
        <v>Low</v>
      </c>
      <c r="J118" s="4" t="s">
        <v>270</v>
      </c>
      <c r="K118" s="4">
        <v>0</v>
      </c>
      <c r="M118" s="4" t="s">
        <v>270</v>
      </c>
      <c r="N118" s="4">
        <f>SUMIF(Clean_sheet!C115:C614,client_formula_data!M118,Clean_sheet!K115:K614)</f>
        <v>15127</v>
      </c>
    </row>
    <row r="119" spans="6:14" x14ac:dyDescent="0.25">
      <c r="F119" s="5" t="s">
        <v>177</v>
      </c>
      <c r="G119" s="5">
        <f>_xlfn.XLOOKUP(F119,Product_Master!$A$2:$A$26,Product_Master!$C$2:$C$26)</f>
        <v>299</v>
      </c>
      <c r="H119" s="5" t="str">
        <f>_xlfn.XLOOKUP(F119,Product_Master!$A$2:$A$26,Product_Master!$D$2:$D$26)</f>
        <v>Low</v>
      </c>
      <c r="J119" s="4" t="s">
        <v>272</v>
      </c>
      <c r="K119" s="4">
        <v>0</v>
      </c>
      <c r="M119" s="4" t="s">
        <v>272</v>
      </c>
      <c r="N119" s="4">
        <f>SUMIF(Clean_sheet!C116:C615,client_formula_data!M119,Clean_sheet!K116:K615)</f>
        <v>28817</v>
      </c>
    </row>
    <row r="120" spans="6:14" x14ac:dyDescent="0.25">
      <c r="F120" s="5" t="s">
        <v>37</v>
      </c>
      <c r="G120" s="5">
        <f>_xlfn.XLOOKUP(F120,Product_Master!$A$2:$A$26,Product_Master!$C$2:$C$26)</f>
        <v>1999</v>
      </c>
      <c r="H120" s="5" t="str">
        <f>_xlfn.XLOOKUP(F120,Product_Master!$A$2:$A$26,Product_Master!$D$2:$D$26)</f>
        <v>High</v>
      </c>
      <c r="J120" s="4" t="s">
        <v>274</v>
      </c>
      <c r="K120" s="4">
        <v>0</v>
      </c>
      <c r="M120" s="4" t="s">
        <v>274</v>
      </c>
      <c r="N120" s="4">
        <f>SUMIF(Clean_sheet!C117:C616,client_formula_data!M120,Clean_sheet!K117:K616)</f>
        <v>13183</v>
      </c>
    </row>
    <row r="121" spans="6:14" x14ac:dyDescent="0.25">
      <c r="F121" s="5" t="s">
        <v>30</v>
      </c>
      <c r="G121" s="5">
        <f>_xlfn.XLOOKUP(F121,Product_Master!$A$2:$A$26,Product_Master!$C$2:$C$26)</f>
        <v>799</v>
      </c>
      <c r="H121" s="5" t="str">
        <f>_xlfn.XLOOKUP(F121,Product_Master!$A$2:$A$26,Product_Master!$D$2:$D$26)</f>
        <v>High</v>
      </c>
      <c r="J121" s="4" t="s">
        <v>276</v>
      </c>
      <c r="K121" s="4">
        <v>0</v>
      </c>
      <c r="M121" s="4" t="s">
        <v>276</v>
      </c>
      <c r="N121" s="4">
        <f>SUMIF(Clean_sheet!C118:C617,client_formula_data!M121,Clean_sheet!K118:K617)</f>
        <v>7987</v>
      </c>
    </row>
    <row r="122" spans="6:14" x14ac:dyDescent="0.25">
      <c r="F122" s="5" t="s">
        <v>137</v>
      </c>
      <c r="G122" s="5">
        <f>_xlfn.XLOOKUP(F122,Product_Master!$A$2:$A$26,Product_Master!$C$2:$C$26)</f>
        <v>299</v>
      </c>
      <c r="H122" s="5" t="str">
        <f>_xlfn.XLOOKUP(F122,Product_Master!$A$2:$A$26,Product_Master!$D$2:$D$26)</f>
        <v>Low</v>
      </c>
      <c r="J122" s="4" t="s">
        <v>218</v>
      </c>
      <c r="K122" s="4">
        <v>0</v>
      </c>
      <c r="M122" s="4" t="s">
        <v>218</v>
      </c>
      <c r="N122" s="4">
        <f>SUMIF(Clean_sheet!C119:C618,client_formula_data!M122,Clean_sheet!K119:K618)</f>
        <v>17727</v>
      </c>
    </row>
    <row r="123" spans="6:14" x14ac:dyDescent="0.25">
      <c r="F123" s="5" t="s">
        <v>133</v>
      </c>
      <c r="G123" s="5">
        <f>_xlfn.XLOOKUP(F123,Product_Master!$A$2:$A$26,Product_Master!$C$2:$C$26)</f>
        <v>249</v>
      </c>
      <c r="H123" s="5" t="str">
        <f>_xlfn.XLOOKUP(F123,Product_Master!$A$2:$A$26,Product_Master!$D$2:$D$26)</f>
        <v>High</v>
      </c>
      <c r="J123" s="4" t="s">
        <v>255</v>
      </c>
      <c r="K123" s="4">
        <v>0</v>
      </c>
      <c r="M123" s="4" t="s">
        <v>255</v>
      </c>
      <c r="N123" s="4">
        <f>SUMIF(Clean_sheet!C120:C619,client_formula_data!M123,Clean_sheet!K120:K619)</f>
        <v>16791</v>
      </c>
    </row>
    <row r="124" spans="6:14" x14ac:dyDescent="0.25">
      <c r="F124" s="5" t="s">
        <v>133</v>
      </c>
      <c r="G124" s="5">
        <f>_xlfn.XLOOKUP(F124,Product_Master!$A$2:$A$26,Product_Master!$C$2:$C$26)</f>
        <v>249</v>
      </c>
      <c r="H124" s="5" t="str">
        <f>_xlfn.XLOOKUP(F124,Product_Master!$A$2:$A$26,Product_Master!$D$2:$D$26)</f>
        <v>High</v>
      </c>
      <c r="J124" s="4" t="s">
        <v>280</v>
      </c>
      <c r="K124" s="4">
        <v>0</v>
      </c>
      <c r="M124" s="4" t="s">
        <v>280</v>
      </c>
      <c r="N124" s="4">
        <f>SUMIF(Clean_sheet!C121:C620,client_formula_data!M124,Clean_sheet!K121:K620)</f>
        <v>12680</v>
      </c>
    </row>
    <row r="125" spans="6:14" x14ac:dyDescent="0.25">
      <c r="F125" s="5" t="s">
        <v>77</v>
      </c>
      <c r="G125" s="5">
        <f>_xlfn.XLOOKUP(F125,Product_Master!$A$2:$A$26,Product_Master!$C$2:$C$26)</f>
        <v>999</v>
      </c>
      <c r="H125" s="5" t="str">
        <f>_xlfn.XLOOKUP(F125,Product_Master!$A$2:$A$26,Product_Master!$D$2:$D$26)</f>
        <v>High</v>
      </c>
      <c r="J125" s="4" t="s">
        <v>186</v>
      </c>
      <c r="K125" s="4">
        <v>0</v>
      </c>
      <c r="M125" s="4" t="s">
        <v>186</v>
      </c>
      <c r="N125" s="4">
        <f>SUMIF(Clean_sheet!C122:C621,client_formula_data!M125,Clean_sheet!K122:K621)</f>
        <v>5292</v>
      </c>
    </row>
    <row r="126" spans="6:14" x14ac:dyDescent="0.25">
      <c r="F126" s="5" t="s">
        <v>120</v>
      </c>
      <c r="G126" s="5">
        <f>_xlfn.XLOOKUP(F126,Product_Master!$A$2:$A$26,Product_Master!$C$2:$C$26)</f>
        <v>299</v>
      </c>
      <c r="H126" s="5" t="str">
        <f>_xlfn.XLOOKUP(F126,Product_Master!$A$2:$A$26,Product_Master!$D$2:$D$26)</f>
        <v>Medium</v>
      </c>
      <c r="J126" s="4" t="s">
        <v>283</v>
      </c>
      <c r="K126" s="4">
        <v>0</v>
      </c>
      <c r="M126" s="4" t="s">
        <v>283</v>
      </c>
      <c r="N126" s="4">
        <f>SUMIF(Clean_sheet!C123:C622,client_formula_data!M126,Clean_sheet!K123:K622)</f>
        <v>5593</v>
      </c>
    </row>
    <row r="127" spans="6:14" x14ac:dyDescent="0.25">
      <c r="F127" s="5" t="s">
        <v>30</v>
      </c>
      <c r="G127" s="5">
        <f>_xlfn.XLOOKUP(F127,Product_Master!$A$2:$A$26,Product_Master!$C$2:$C$26)</f>
        <v>799</v>
      </c>
      <c r="H127" s="5" t="str">
        <f>_xlfn.XLOOKUP(F127,Product_Master!$A$2:$A$26,Product_Master!$D$2:$D$26)</f>
        <v>High</v>
      </c>
      <c r="J127" s="4" t="s">
        <v>145</v>
      </c>
      <c r="K127" s="4">
        <v>0</v>
      </c>
      <c r="M127" s="4" t="s">
        <v>145</v>
      </c>
      <c r="N127" s="4">
        <f>SUMIF(Clean_sheet!C124:C623,client_formula_data!M127,Clean_sheet!K124:K623)</f>
        <v>10591</v>
      </c>
    </row>
    <row r="128" spans="6:14" x14ac:dyDescent="0.25">
      <c r="F128" s="5" t="s">
        <v>30</v>
      </c>
      <c r="G128" s="5">
        <f>_xlfn.XLOOKUP(F128,Product_Master!$A$2:$A$26,Product_Master!$C$2:$C$26)</f>
        <v>799</v>
      </c>
      <c r="H128" s="5" t="str">
        <f>_xlfn.XLOOKUP(F128,Product_Master!$A$2:$A$26,Product_Master!$D$2:$D$26)</f>
        <v>High</v>
      </c>
      <c r="J128" s="4" t="s">
        <v>286</v>
      </c>
      <c r="K128" s="4">
        <v>0</v>
      </c>
      <c r="M128" s="4" t="s">
        <v>286</v>
      </c>
      <c r="N128" s="4">
        <f>SUMIF(Clean_sheet!C125:C624,client_formula_data!M128,Clean_sheet!K125:K624)</f>
        <v>28279</v>
      </c>
    </row>
    <row r="129" spans="6:14" x14ac:dyDescent="0.25">
      <c r="F129" s="5" t="s">
        <v>133</v>
      </c>
      <c r="G129" s="5">
        <f>_xlfn.XLOOKUP(F129,Product_Master!$A$2:$A$26,Product_Master!$C$2:$C$26)</f>
        <v>249</v>
      </c>
      <c r="H129" s="5" t="str">
        <f>_xlfn.XLOOKUP(F129,Product_Master!$A$2:$A$26,Product_Master!$D$2:$D$26)</f>
        <v>High</v>
      </c>
      <c r="J129" s="4" t="s">
        <v>288</v>
      </c>
      <c r="K129" s="4">
        <v>0</v>
      </c>
      <c r="M129" s="4" t="s">
        <v>288</v>
      </c>
      <c r="N129" s="4">
        <f>SUMIF(Clean_sheet!C126:C625,client_formula_data!M129,Clean_sheet!K126:K625)</f>
        <v>15182</v>
      </c>
    </row>
    <row r="130" spans="6:14" x14ac:dyDescent="0.25">
      <c r="F130" s="5" t="s">
        <v>235</v>
      </c>
      <c r="G130" s="5">
        <f>_xlfn.XLOOKUP(F130,Product_Master!$A$2:$A$26,Product_Master!$C$2:$C$26)</f>
        <v>399</v>
      </c>
      <c r="H130" s="5" t="str">
        <f>_xlfn.XLOOKUP(F130,Product_Master!$A$2:$A$26,Product_Master!$D$2:$D$26)</f>
        <v>High</v>
      </c>
      <c r="J130" s="4" t="s">
        <v>290</v>
      </c>
      <c r="K130" s="4">
        <v>0</v>
      </c>
      <c r="M130" s="4" t="s">
        <v>290</v>
      </c>
      <c r="N130" s="4">
        <f>SUMIF(Clean_sheet!C127:C626,client_formula_data!M130,Clean_sheet!K127:K626)</f>
        <v>4594</v>
      </c>
    </row>
    <row r="131" spans="6:14" x14ac:dyDescent="0.25">
      <c r="F131" s="5" t="s">
        <v>120</v>
      </c>
      <c r="G131" s="5">
        <f>_xlfn.XLOOKUP(F131,Product_Master!$A$2:$A$26,Product_Master!$C$2:$C$26)</f>
        <v>299</v>
      </c>
      <c r="H131" s="5" t="str">
        <f>_xlfn.XLOOKUP(F131,Product_Master!$A$2:$A$26,Product_Master!$D$2:$D$26)</f>
        <v>Medium</v>
      </c>
      <c r="J131" s="4" t="s">
        <v>173</v>
      </c>
      <c r="K131" s="4">
        <v>0</v>
      </c>
      <c r="M131" s="4" t="s">
        <v>173</v>
      </c>
      <c r="N131" s="4">
        <f>SUMIF(Clean_sheet!C128:C627,client_formula_data!M131,Clean_sheet!K128:K627)</f>
        <v>1497</v>
      </c>
    </row>
    <row r="132" spans="6:14" x14ac:dyDescent="0.25">
      <c r="F132" s="5" t="s">
        <v>151</v>
      </c>
      <c r="G132" s="5">
        <f>_xlfn.XLOOKUP(F132,Product_Master!$A$2:$A$26,Product_Master!$C$2:$C$26)</f>
        <v>1299</v>
      </c>
      <c r="H132" s="5" t="str">
        <f>_xlfn.XLOOKUP(F132,Product_Master!$A$2:$A$26,Product_Master!$D$2:$D$26)</f>
        <v>Medium</v>
      </c>
      <c r="J132" s="4" t="s">
        <v>209</v>
      </c>
      <c r="K132" s="4">
        <v>0</v>
      </c>
      <c r="M132" s="4" t="s">
        <v>209</v>
      </c>
      <c r="N132" s="4">
        <f>SUMIF(Clean_sheet!C129:C628,client_formula_data!M132,Clean_sheet!K129:K628)</f>
        <v>11037</v>
      </c>
    </row>
    <row r="133" spans="6:14" x14ac:dyDescent="0.25">
      <c r="F133" s="5" t="s">
        <v>108</v>
      </c>
      <c r="G133" s="5">
        <f>_xlfn.XLOOKUP(F133,Product_Master!$A$2:$A$26,Product_Master!$C$2:$C$26)</f>
        <v>499</v>
      </c>
      <c r="H133" s="5" t="str">
        <f>_xlfn.XLOOKUP(F133,Product_Master!$A$2:$A$26,Product_Master!$D$2:$D$26)</f>
        <v>Medium</v>
      </c>
      <c r="J133" s="4" t="s">
        <v>294</v>
      </c>
      <c r="K133" s="4">
        <v>0</v>
      </c>
      <c r="M133" s="4" t="s">
        <v>294</v>
      </c>
      <c r="N133" s="4">
        <f>SUMIF(Clean_sheet!C130:C629,client_formula_data!M133,Clean_sheet!K130:K629)</f>
        <v>7141</v>
      </c>
    </row>
    <row r="134" spans="6:14" x14ac:dyDescent="0.25">
      <c r="F134" s="5" t="s">
        <v>77</v>
      </c>
      <c r="G134" s="5">
        <f>_xlfn.XLOOKUP(F134,Product_Master!$A$2:$A$26,Product_Master!$C$2:$C$26)</f>
        <v>999</v>
      </c>
      <c r="H134" s="5" t="str">
        <f>_xlfn.XLOOKUP(F134,Product_Master!$A$2:$A$26,Product_Master!$D$2:$D$26)</f>
        <v>High</v>
      </c>
      <c r="J134" s="4" t="s">
        <v>296</v>
      </c>
      <c r="K134" s="4">
        <v>0</v>
      </c>
      <c r="M134" s="4" t="s">
        <v>296</v>
      </c>
      <c r="N134" s="4">
        <f>SUMIF(Clean_sheet!C131:C630,client_formula_data!M134,Clean_sheet!K131:K630)</f>
        <v>1344</v>
      </c>
    </row>
    <row r="135" spans="6:14" x14ac:dyDescent="0.25">
      <c r="F135" s="5" t="s">
        <v>151</v>
      </c>
      <c r="G135" s="5">
        <f>_xlfn.XLOOKUP(F135,Product_Master!$A$2:$A$26,Product_Master!$C$2:$C$26)</f>
        <v>1299</v>
      </c>
      <c r="H135" s="5" t="str">
        <f>_xlfn.XLOOKUP(F135,Product_Master!$A$2:$A$26,Product_Master!$D$2:$D$26)</f>
        <v>Medium</v>
      </c>
      <c r="J135" s="4" t="s">
        <v>272</v>
      </c>
      <c r="K135" s="4">
        <v>0</v>
      </c>
      <c r="M135" s="4" t="s">
        <v>272</v>
      </c>
      <c r="N135" s="4">
        <f>SUMIF(Clean_sheet!C132:C631,client_formula_data!M135,Clean_sheet!K132:K631)</f>
        <v>27322</v>
      </c>
    </row>
    <row r="136" spans="6:14" x14ac:dyDescent="0.25">
      <c r="F136" s="5" t="s">
        <v>177</v>
      </c>
      <c r="G136" s="5">
        <f>_xlfn.XLOOKUP(F136,Product_Master!$A$2:$A$26,Product_Master!$C$2:$C$26)</f>
        <v>299</v>
      </c>
      <c r="H136" s="5" t="str">
        <f>_xlfn.XLOOKUP(F136,Product_Master!$A$2:$A$26,Product_Master!$D$2:$D$26)</f>
        <v>Low</v>
      </c>
      <c r="J136" s="4" t="s">
        <v>299</v>
      </c>
      <c r="K136" s="4">
        <v>0</v>
      </c>
      <c r="M136" s="4" t="s">
        <v>299</v>
      </c>
      <c r="N136" s="4">
        <f>SUMIF(Clean_sheet!C133:C632,client_formula_data!M136,Clean_sheet!K133:K632)</f>
        <v>6938</v>
      </c>
    </row>
    <row r="137" spans="6:14" x14ac:dyDescent="0.25">
      <c r="F137" s="5" t="s">
        <v>69</v>
      </c>
      <c r="G137" s="5">
        <f>_xlfn.XLOOKUP(F137,Product_Master!$A$2:$A$26,Product_Master!$C$2:$C$26)</f>
        <v>499</v>
      </c>
      <c r="H137" s="5" t="str">
        <f>_xlfn.XLOOKUP(F137,Product_Master!$A$2:$A$26,Product_Master!$D$2:$D$26)</f>
        <v>Medium</v>
      </c>
      <c r="J137" s="4" t="s">
        <v>226</v>
      </c>
      <c r="K137" s="4">
        <v>0</v>
      </c>
      <c r="M137" s="4" t="s">
        <v>226</v>
      </c>
      <c r="N137" s="4">
        <f>SUMIF(Clean_sheet!C134:C633,client_formula_data!M137,Clean_sheet!K134:K633)</f>
        <v>9193</v>
      </c>
    </row>
    <row r="138" spans="6:14" x14ac:dyDescent="0.25">
      <c r="F138" s="5" t="s">
        <v>52</v>
      </c>
      <c r="G138" s="5">
        <f>_xlfn.XLOOKUP(F138,Product_Master!$A$2:$A$26,Product_Master!$C$2:$C$26)</f>
        <v>299</v>
      </c>
      <c r="H138" s="5" t="str">
        <f>_xlfn.XLOOKUP(F138,Product_Master!$A$2:$A$26,Product_Master!$D$2:$D$26)</f>
        <v>Medium</v>
      </c>
      <c r="J138" s="4" t="s">
        <v>302</v>
      </c>
      <c r="K138" s="4">
        <v>0</v>
      </c>
      <c r="M138" s="4" t="s">
        <v>302</v>
      </c>
      <c r="N138" s="4">
        <f>SUMIF(Clean_sheet!C135:C634,client_formula_data!M138,Clean_sheet!K135:K634)</f>
        <v>13075</v>
      </c>
    </row>
    <row r="139" spans="6:14" x14ac:dyDescent="0.25">
      <c r="F139" s="5" t="s">
        <v>137</v>
      </c>
      <c r="G139" s="5">
        <f>_xlfn.XLOOKUP(F139,Product_Master!$A$2:$A$26,Product_Master!$C$2:$C$26)</f>
        <v>299</v>
      </c>
      <c r="H139" s="5" t="str">
        <f>_xlfn.XLOOKUP(F139,Product_Master!$A$2:$A$26,Product_Master!$D$2:$D$26)</f>
        <v>Low</v>
      </c>
      <c r="J139" s="4" t="s">
        <v>304</v>
      </c>
      <c r="K139" s="4">
        <v>0</v>
      </c>
      <c r="M139" s="4" t="s">
        <v>304</v>
      </c>
      <c r="N139" s="4">
        <f>SUMIF(Clean_sheet!C136:C635,client_formula_data!M139,Clean_sheet!K136:K635)</f>
        <v>10784</v>
      </c>
    </row>
    <row r="140" spans="6:14" x14ac:dyDescent="0.25">
      <c r="F140" s="5" t="s">
        <v>73</v>
      </c>
      <c r="G140" s="5">
        <f>_xlfn.XLOOKUP(F140,Product_Master!$A$2:$A$26,Product_Master!$C$2:$C$26)</f>
        <v>1499</v>
      </c>
      <c r="H140" s="5" t="str">
        <f>_xlfn.XLOOKUP(F140,Product_Master!$A$2:$A$26,Product_Master!$D$2:$D$26)</f>
        <v>Medium</v>
      </c>
      <c r="J140" s="4" t="s">
        <v>186</v>
      </c>
      <c r="K140" s="4">
        <v>0</v>
      </c>
      <c r="M140" s="4" t="s">
        <v>186</v>
      </c>
      <c r="N140" s="4">
        <f>SUMIF(Clean_sheet!C137:C636,client_formula_data!M140,Clean_sheet!K137:K636)</f>
        <v>4993</v>
      </c>
    </row>
    <row r="141" spans="6:14" x14ac:dyDescent="0.25">
      <c r="F141" s="5" t="s">
        <v>102</v>
      </c>
      <c r="G141" s="5">
        <f>_xlfn.XLOOKUP(F141,Product_Master!$A$2:$A$26,Product_Master!$C$2:$C$26)</f>
        <v>499</v>
      </c>
      <c r="H141" s="5" t="str">
        <f>_xlfn.XLOOKUP(F141,Product_Master!$A$2:$A$26,Product_Master!$D$2:$D$26)</f>
        <v>Medium</v>
      </c>
      <c r="J141" s="4" t="s">
        <v>304</v>
      </c>
      <c r="K141" s="4">
        <v>0</v>
      </c>
      <c r="M141" s="4" t="s">
        <v>304</v>
      </c>
      <c r="N141" s="4">
        <f>SUMIF(Clean_sheet!C138:C637,client_formula_data!M141,Clean_sheet!K138:K637)</f>
        <v>7789</v>
      </c>
    </row>
    <row r="142" spans="6:14" x14ac:dyDescent="0.25">
      <c r="F142" s="5" t="s">
        <v>108</v>
      </c>
      <c r="G142" s="5">
        <f>_xlfn.XLOOKUP(F142,Product_Master!$A$2:$A$26,Product_Master!$C$2:$C$26)</f>
        <v>499</v>
      </c>
      <c r="H142" s="5" t="str">
        <f>_xlfn.XLOOKUP(F142,Product_Master!$A$2:$A$26,Product_Master!$D$2:$D$26)</f>
        <v>Medium</v>
      </c>
      <c r="J142" s="4" t="s">
        <v>288</v>
      </c>
      <c r="K142" s="4">
        <v>0</v>
      </c>
      <c r="M142" s="4" t="s">
        <v>288</v>
      </c>
      <c r="N142" s="4">
        <f>SUMIF(Clean_sheet!C139:C638,client_formula_data!M142,Clean_sheet!K139:K638)</f>
        <v>14186</v>
      </c>
    </row>
    <row r="143" spans="6:14" x14ac:dyDescent="0.25">
      <c r="F143" s="5" t="s">
        <v>77</v>
      </c>
      <c r="G143" s="5">
        <f>_xlfn.XLOOKUP(F143,Product_Master!$A$2:$A$26,Product_Master!$C$2:$C$26)</f>
        <v>999</v>
      </c>
      <c r="H143" s="5" t="str">
        <f>_xlfn.XLOOKUP(F143,Product_Master!$A$2:$A$26,Product_Master!$D$2:$D$26)</f>
        <v>High</v>
      </c>
      <c r="J143" s="4" t="s">
        <v>286</v>
      </c>
      <c r="K143" s="4">
        <v>0</v>
      </c>
      <c r="M143" s="4" t="s">
        <v>286</v>
      </c>
      <c r="N143" s="4">
        <f>SUMIF(Clean_sheet!C140:C639,client_formula_data!M143,Clean_sheet!K140:K639)</f>
        <v>15784</v>
      </c>
    </row>
    <row r="144" spans="6:14" x14ac:dyDescent="0.25">
      <c r="F144" s="5" t="s">
        <v>171</v>
      </c>
      <c r="G144" s="5">
        <f>_xlfn.XLOOKUP(F144,Product_Master!$A$2:$A$26,Product_Master!$C$2:$C$26)</f>
        <v>299</v>
      </c>
      <c r="H144" s="5" t="str">
        <f>_xlfn.XLOOKUP(F144,Product_Master!$A$2:$A$26,Product_Master!$D$2:$D$26)</f>
        <v>High</v>
      </c>
      <c r="J144" s="4" t="s">
        <v>310</v>
      </c>
      <c r="K144" s="4">
        <v>0</v>
      </c>
      <c r="M144" s="4" t="s">
        <v>310</v>
      </c>
      <c r="N144" s="4">
        <f>SUMIF(Clean_sheet!C141:C640,client_formula_data!M144,Clean_sheet!K141:K640)</f>
        <v>11787</v>
      </c>
    </row>
    <row r="145" spans="6:14" x14ac:dyDescent="0.25">
      <c r="F145" s="5" t="s">
        <v>235</v>
      </c>
      <c r="G145" s="5">
        <f>_xlfn.XLOOKUP(F145,Product_Master!$A$2:$A$26,Product_Master!$C$2:$C$26)</f>
        <v>399</v>
      </c>
      <c r="H145" s="5" t="str">
        <f>_xlfn.XLOOKUP(F145,Product_Master!$A$2:$A$26,Product_Master!$D$2:$D$26)</f>
        <v>High</v>
      </c>
      <c r="J145" s="4" t="s">
        <v>276</v>
      </c>
      <c r="K145" s="4">
        <v>0</v>
      </c>
      <c r="M145" s="4" t="s">
        <v>276</v>
      </c>
      <c r="N145" s="4">
        <f>SUMIF(Clean_sheet!C142:C641,client_formula_data!M145,Clean_sheet!K142:K641)</f>
        <v>4990</v>
      </c>
    </row>
    <row r="146" spans="6:14" x14ac:dyDescent="0.25">
      <c r="F146" s="5" t="s">
        <v>235</v>
      </c>
      <c r="G146" s="5">
        <f>_xlfn.XLOOKUP(F146,Product_Master!$A$2:$A$26,Product_Master!$C$2:$C$26)</f>
        <v>399</v>
      </c>
      <c r="H146" s="5" t="str">
        <f>_xlfn.XLOOKUP(F146,Product_Master!$A$2:$A$26,Product_Master!$D$2:$D$26)</f>
        <v>High</v>
      </c>
      <c r="J146" s="4" t="s">
        <v>313</v>
      </c>
      <c r="K146" s="4">
        <v>0</v>
      </c>
      <c r="M146" s="4" t="s">
        <v>313</v>
      </c>
      <c r="N146" s="4">
        <f>SUMIF(Clean_sheet!C143:C642,client_formula_data!M146,Clean_sheet!K143:K642)</f>
        <v>7838</v>
      </c>
    </row>
    <row r="147" spans="6:14" x14ac:dyDescent="0.25">
      <c r="F147" s="5" t="s">
        <v>21</v>
      </c>
      <c r="G147" s="5">
        <f>_xlfn.XLOOKUP(F147,Product_Master!$A$2:$A$26,Product_Master!$C$2:$C$26)</f>
        <v>1499</v>
      </c>
      <c r="H147" s="5" t="str">
        <f>_xlfn.XLOOKUP(F147,Product_Master!$A$2:$A$26,Product_Master!$D$2:$D$26)</f>
        <v>Low</v>
      </c>
      <c r="J147" s="4" t="s">
        <v>315</v>
      </c>
      <c r="K147" s="4">
        <v>0</v>
      </c>
      <c r="M147" s="4" t="s">
        <v>315</v>
      </c>
      <c r="N147" s="4">
        <f>SUMIF(Clean_sheet!C144:C643,client_formula_data!M147,Clean_sheet!K144:K643)</f>
        <v>9496</v>
      </c>
    </row>
    <row r="148" spans="6:14" x14ac:dyDescent="0.25">
      <c r="F148" s="5" t="s">
        <v>177</v>
      </c>
      <c r="G148" s="5">
        <f>_xlfn.XLOOKUP(F148,Product_Master!$A$2:$A$26,Product_Master!$C$2:$C$26)</f>
        <v>299</v>
      </c>
      <c r="H148" s="5" t="str">
        <f>_xlfn.XLOOKUP(F148,Product_Master!$A$2:$A$26,Product_Master!$D$2:$D$26)</f>
        <v>Low</v>
      </c>
      <c r="J148" s="4" t="s">
        <v>129</v>
      </c>
      <c r="K148" s="4">
        <v>0</v>
      </c>
      <c r="M148" s="4" t="s">
        <v>129</v>
      </c>
      <c r="N148" s="4">
        <f>SUMIF(Clean_sheet!C145:C644,client_formula_data!M148,Clean_sheet!K145:K644)</f>
        <v>4788</v>
      </c>
    </row>
    <row r="149" spans="6:14" x14ac:dyDescent="0.25">
      <c r="F149" s="5" t="s">
        <v>102</v>
      </c>
      <c r="G149" s="5">
        <f>_xlfn.XLOOKUP(F149,Product_Master!$A$2:$A$26,Product_Master!$C$2:$C$26)</f>
        <v>499</v>
      </c>
      <c r="H149" s="5" t="str">
        <f>_xlfn.XLOOKUP(F149,Product_Master!$A$2:$A$26,Product_Master!$D$2:$D$26)</f>
        <v>Medium</v>
      </c>
      <c r="J149" s="4" t="s">
        <v>304</v>
      </c>
      <c r="K149" s="4">
        <v>0</v>
      </c>
      <c r="M149" s="4" t="s">
        <v>304</v>
      </c>
      <c r="N149" s="4">
        <f>SUMIF(Clean_sheet!C146:C645,client_formula_data!M149,Clean_sheet!K146:K645)</f>
        <v>6793</v>
      </c>
    </row>
    <row r="150" spans="6:14" x14ac:dyDescent="0.25">
      <c r="F150" s="5" t="s">
        <v>156</v>
      </c>
      <c r="G150" s="5">
        <f>_xlfn.XLOOKUP(F150,Product_Master!$A$2:$A$26,Product_Master!$C$2:$C$26)</f>
        <v>599</v>
      </c>
      <c r="H150" s="5" t="str">
        <f>_xlfn.XLOOKUP(F150,Product_Master!$A$2:$A$26,Product_Master!$D$2:$D$26)</f>
        <v>High</v>
      </c>
      <c r="J150" s="4" t="s">
        <v>319</v>
      </c>
      <c r="K150" s="4">
        <v>0</v>
      </c>
      <c r="M150" s="4" t="s">
        <v>319</v>
      </c>
      <c r="N150" s="4">
        <f>SUMIF(Clean_sheet!C147:C646,client_formula_data!M150,Clean_sheet!K147:K646)</f>
        <v>5492</v>
      </c>
    </row>
    <row r="151" spans="6:14" x14ac:dyDescent="0.25">
      <c r="F151" s="5" t="s">
        <v>151</v>
      </c>
      <c r="G151" s="5">
        <f>_xlfn.XLOOKUP(F151,Product_Master!$A$2:$A$26,Product_Master!$C$2:$C$26)</f>
        <v>1299</v>
      </c>
      <c r="H151" s="5" t="str">
        <f>_xlfn.XLOOKUP(F151,Product_Master!$A$2:$A$26,Product_Master!$D$2:$D$26)</f>
        <v>Medium</v>
      </c>
      <c r="J151" s="4" t="s">
        <v>288</v>
      </c>
      <c r="K151" s="4">
        <v>0</v>
      </c>
      <c r="M151" s="4" t="s">
        <v>288</v>
      </c>
      <c r="N151" s="4">
        <f>SUMIF(Clean_sheet!C148:C647,client_formula_data!M151,Clean_sheet!K148:K647)</f>
        <v>13588</v>
      </c>
    </row>
    <row r="152" spans="6:14" x14ac:dyDescent="0.25">
      <c r="F152" s="5" t="s">
        <v>102</v>
      </c>
      <c r="G152" s="5">
        <f>_xlfn.XLOOKUP(F152,Product_Master!$A$2:$A$26,Product_Master!$C$2:$C$26)</f>
        <v>499</v>
      </c>
      <c r="H152" s="5" t="str">
        <f>_xlfn.XLOOKUP(F152,Product_Master!$A$2:$A$26,Product_Master!$D$2:$D$26)</f>
        <v>Medium</v>
      </c>
      <c r="J152" s="4" t="s">
        <v>250</v>
      </c>
      <c r="K152" s="4">
        <v>0</v>
      </c>
      <c r="M152" s="4" t="s">
        <v>250</v>
      </c>
      <c r="N152" s="4">
        <f>SUMIF(Clean_sheet!C149:C648,client_formula_data!M152,Clean_sheet!K149:K648)</f>
        <v>23329</v>
      </c>
    </row>
    <row r="153" spans="6:14" x14ac:dyDescent="0.25">
      <c r="F153" s="5" t="s">
        <v>120</v>
      </c>
      <c r="G153" s="5">
        <f>_xlfn.XLOOKUP(F153,Product_Master!$A$2:$A$26,Product_Master!$C$2:$C$26)</f>
        <v>299</v>
      </c>
      <c r="H153" s="5" t="str">
        <f>_xlfn.XLOOKUP(F153,Product_Master!$A$2:$A$26,Product_Master!$D$2:$D$26)</f>
        <v>Medium</v>
      </c>
      <c r="J153" s="4" t="s">
        <v>34</v>
      </c>
      <c r="K153" s="4">
        <v>0</v>
      </c>
      <c r="M153" s="4" t="s">
        <v>34</v>
      </c>
      <c r="N153" s="4">
        <f>SUMIF(Clean_sheet!C150:C649,client_formula_data!M153,Clean_sheet!K150:K649)</f>
        <v>6791</v>
      </c>
    </row>
    <row r="154" spans="6:14" x14ac:dyDescent="0.25">
      <c r="F154" s="5" t="s">
        <v>45</v>
      </c>
      <c r="G154" s="5">
        <f>_xlfn.XLOOKUP(F154,Product_Master!$A$2:$A$26,Product_Master!$C$2:$C$26)</f>
        <v>249</v>
      </c>
      <c r="H154" s="5" t="str">
        <f>_xlfn.XLOOKUP(F154,Product_Master!$A$2:$A$26,Product_Master!$D$2:$D$26)</f>
        <v>High</v>
      </c>
      <c r="J154" s="4" t="s">
        <v>34</v>
      </c>
      <c r="K154" s="4">
        <v>0</v>
      </c>
      <c r="M154" s="4" t="s">
        <v>34</v>
      </c>
      <c r="N154" s="4">
        <f>SUMIF(Clean_sheet!C151:C650,client_formula_data!M154,Clean_sheet!K151:K650)</f>
        <v>5793</v>
      </c>
    </row>
    <row r="155" spans="6:14" x14ac:dyDescent="0.25">
      <c r="F155" s="5" t="s">
        <v>171</v>
      </c>
      <c r="G155" s="5">
        <f>_xlfn.XLOOKUP(F155,Product_Master!$A$2:$A$26,Product_Master!$C$2:$C$26)</f>
        <v>299</v>
      </c>
      <c r="H155" s="5" t="str">
        <f>_xlfn.XLOOKUP(F155,Product_Master!$A$2:$A$26,Product_Master!$D$2:$D$26)</f>
        <v>High</v>
      </c>
      <c r="J155" s="4" t="s">
        <v>205</v>
      </c>
      <c r="K155" s="4">
        <v>0</v>
      </c>
      <c r="M155" s="4" t="s">
        <v>205</v>
      </c>
      <c r="N155" s="4">
        <f>SUMIF(Clean_sheet!C152:C651,client_formula_data!M155,Clean_sheet!K152:K651)</f>
        <v>4490</v>
      </c>
    </row>
    <row r="156" spans="6:14" x14ac:dyDescent="0.25">
      <c r="F156" s="5" t="s">
        <v>133</v>
      </c>
      <c r="G156" s="5">
        <f>_xlfn.XLOOKUP(F156,Product_Master!$A$2:$A$26,Product_Master!$C$2:$C$26)</f>
        <v>249</v>
      </c>
      <c r="H156" s="5" t="str">
        <f>_xlfn.XLOOKUP(F156,Product_Master!$A$2:$A$26,Product_Master!$D$2:$D$26)</f>
        <v>High</v>
      </c>
      <c r="J156" s="4" t="s">
        <v>205</v>
      </c>
      <c r="K156" s="4">
        <v>0</v>
      </c>
      <c r="M156" s="4" t="s">
        <v>205</v>
      </c>
      <c r="N156" s="4">
        <f>SUMIF(Clean_sheet!C153:C652,client_formula_data!M156,Clean_sheet!K153:K652)</f>
        <v>3692</v>
      </c>
    </row>
    <row r="157" spans="6:14" x14ac:dyDescent="0.25">
      <c r="F157" s="5" t="s">
        <v>94</v>
      </c>
      <c r="G157" s="5">
        <f>_xlfn.XLOOKUP(F157,Product_Master!$A$2:$A$26,Product_Master!$C$2:$C$26)</f>
        <v>999</v>
      </c>
      <c r="H157" s="5" t="str">
        <f>_xlfn.XLOOKUP(F157,Product_Master!$A$2:$A$26,Product_Master!$D$2:$D$26)</f>
        <v>Medium</v>
      </c>
      <c r="J157" s="4" t="s">
        <v>302</v>
      </c>
      <c r="K157" s="4">
        <v>0</v>
      </c>
      <c r="M157" s="4" t="s">
        <v>302</v>
      </c>
      <c r="N157" s="4">
        <f>SUMIF(Clean_sheet!C154:C653,client_formula_data!M157,Clean_sheet!K154:K653)</f>
        <v>11278</v>
      </c>
    </row>
    <row r="158" spans="6:14" x14ac:dyDescent="0.25">
      <c r="F158" s="5" t="s">
        <v>45</v>
      </c>
      <c r="G158" s="5">
        <f>_xlfn.XLOOKUP(F158,Product_Master!$A$2:$A$26,Product_Master!$C$2:$C$26)</f>
        <v>249</v>
      </c>
      <c r="H158" s="5" t="str">
        <f>_xlfn.XLOOKUP(F158,Product_Master!$A$2:$A$26,Product_Master!$D$2:$D$26)</f>
        <v>High</v>
      </c>
      <c r="J158" s="4" t="s">
        <v>164</v>
      </c>
      <c r="K158" s="4">
        <v>0</v>
      </c>
      <c r="M158" s="4" t="s">
        <v>164</v>
      </c>
      <c r="N158" s="4">
        <f>SUMIF(Clean_sheet!C155:C654,client_formula_data!M158,Clean_sheet!K155:K654)</f>
        <v>15185</v>
      </c>
    </row>
    <row r="159" spans="6:14" x14ac:dyDescent="0.25">
      <c r="F159" s="5" t="s">
        <v>81</v>
      </c>
      <c r="G159" s="5">
        <f>_xlfn.XLOOKUP(F159,Product_Master!$A$2:$A$26,Product_Master!$C$2:$C$26)</f>
        <v>299</v>
      </c>
      <c r="H159" s="5" t="str">
        <f>_xlfn.XLOOKUP(F159,Product_Master!$A$2:$A$26,Product_Master!$D$2:$D$26)</f>
        <v>Low</v>
      </c>
      <c r="J159" s="4" t="s">
        <v>329</v>
      </c>
      <c r="K159" s="4">
        <v>0</v>
      </c>
      <c r="M159" s="4" t="s">
        <v>329</v>
      </c>
      <c r="N159" s="4">
        <f>SUMIF(Clean_sheet!C156:C655,client_formula_data!M159,Clean_sheet!K156:K655)</f>
        <v>8890</v>
      </c>
    </row>
    <row r="160" spans="6:14" x14ac:dyDescent="0.25">
      <c r="F160" s="5" t="s">
        <v>156</v>
      </c>
      <c r="G160" s="5">
        <f>_xlfn.XLOOKUP(F160,Product_Master!$A$2:$A$26,Product_Master!$C$2:$C$26)</f>
        <v>599</v>
      </c>
      <c r="H160" s="5" t="str">
        <f>_xlfn.XLOOKUP(F160,Product_Master!$A$2:$A$26,Product_Master!$D$2:$D$26)</f>
        <v>High</v>
      </c>
      <c r="J160" s="4" t="s">
        <v>27</v>
      </c>
      <c r="K160" s="4">
        <v>0</v>
      </c>
      <c r="M160" s="4" t="s">
        <v>27</v>
      </c>
      <c r="N160" s="4">
        <f>SUMIF(Clean_sheet!C157:C656,client_formula_data!M160,Clean_sheet!K157:K656)</f>
        <v>15191</v>
      </c>
    </row>
    <row r="161" spans="6:14" x14ac:dyDescent="0.25">
      <c r="F161" s="5" t="s">
        <v>171</v>
      </c>
      <c r="G161" s="5">
        <f>_xlfn.XLOOKUP(F161,Product_Master!$A$2:$A$26,Product_Master!$C$2:$C$26)</f>
        <v>299</v>
      </c>
      <c r="H161" s="5" t="str">
        <f>_xlfn.XLOOKUP(F161,Product_Master!$A$2:$A$26,Product_Master!$D$2:$D$26)</f>
        <v>High</v>
      </c>
      <c r="J161" s="4" t="s">
        <v>155</v>
      </c>
      <c r="K161" s="4">
        <v>0</v>
      </c>
      <c r="M161" s="4" t="s">
        <v>155</v>
      </c>
      <c r="N161" s="4">
        <f>SUMIF(Clean_sheet!C158:C657,client_formula_data!M161,Clean_sheet!K158:K657)</f>
        <v>12480</v>
      </c>
    </row>
    <row r="162" spans="6:14" x14ac:dyDescent="0.25">
      <c r="F162" s="5" t="s">
        <v>64</v>
      </c>
      <c r="G162" s="5">
        <f>_xlfn.XLOOKUP(F162,Product_Master!$A$2:$A$26,Product_Master!$C$2:$C$26)</f>
        <v>599</v>
      </c>
      <c r="H162" s="5" t="str">
        <f>_xlfn.XLOOKUP(F162,Product_Master!$A$2:$A$26,Product_Master!$D$2:$D$26)</f>
        <v>Low</v>
      </c>
      <c r="J162" s="4" t="s">
        <v>153</v>
      </c>
      <c r="K162" s="4">
        <v>0</v>
      </c>
      <c r="M162" s="4" t="s">
        <v>153</v>
      </c>
      <c r="N162" s="4">
        <f>SUMIF(Clean_sheet!C159:C658,client_formula_data!M162,Clean_sheet!K159:K658)</f>
        <v>38179</v>
      </c>
    </row>
    <row r="163" spans="6:14" x14ac:dyDescent="0.25">
      <c r="F163" s="5" t="s">
        <v>94</v>
      </c>
      <c r="G163" s="5">
        <f>_xlfn.XLOOKUP(F163,Product_Master!$A$2:$A$26,Product_Master!$C$2:$C$26)</f>
        <v>999</v>
      </c>
      <c r="H163" s="5" t="str">
        <f>_xlfn.XLOOKUP(F163,Product_Master!$A$2:$A$26,Product_Master!$D$2:$D$26)</f>
        <v>Medium</v>
      </c>
      <c r="J163" s="4" t="s">
        <v>155</v>
      </c>
      <c r="K163" s="4">
        <v>0</v>
      </c>
      <c r="M163" s="4" t="s">
        <v>155</v>
      </c>
      <c r="N163" s="4">
        <f>SUMIF(Clean_sheet!C160:C659,client_formula_data!M163,Clean_sheet!K160:K659)</f>
        <v>9485</v>
      </c>
    </row>
    <row r="164" spans="6:14" x14ac:dyDescent="0.25">
      <c r="F164" s="5" t="s">
        <v>102</v>
      </c>
      <c r="G164" s="5">
        <f>_xlfn.XLOOKUP(F164,Product_Master!$A$2:$A$26,Product_Master!$C$2:$C$26)</f>
        <v>499</v>
      </c>
      <c r="H164" s="5" t="str">
        <f>_xlfn.XLOOKUP(F164,Product_Master!$A$2:$A$26,Product_Master!$D$2:$D$26)</f>
        <v>Medium</v>
      </c>
      <c r="J164" s="4" t="s">
        <v>27</v>
      </c>
      <c r="K164" s="4">
        <v>0</v>
      </c>
      <c r="M164" s="4" t="s">
        <v>27</v>
      </c>
      <c r="N164" s="4">
        <f>SUMIF(Clean_sheet!C161:C660,client_formula_data!M164,Clean_sheet!K161:K660)</f>
        <v>12593</v>
      </c>
    </row>
    <row r="165" spans="6:14" x14ac:dyDescent="0.25">
      <c r="F165" s="5" t="s">
        <v>137</v>
      </c>
      <c r="G165" s="5">
        <f>_xlfn.XLOOKUP(F165,Product_Master!$A$2:$A$26,Product_Master!$C$2:$C$26)</f>
        <v>299</v>
      </c>
      <c r="H165" s="5" t="str">
        <f>_xlfn.XLOOKUP(F165,Product_Master!$A$2:$A$26,Product_Master!$D$2:$D$26)</f>
        <v>Low</v>
      </c>
      <c r="J165" s="4" t="s">
        <v>93</v>
      </c>
      <c r="K165" s="4">
        <v>0</v>
      </c>
      <c r="M165" s="4" t="s">
        <v>93</v>
      </c>
      <c r="N165" s="4">
        <f>SUMIF(Clean_sheet!C162:C661,client_formula_data!M165,Clean_sheet!K162:K661)</f>
        <v>7586</v>
      </c>
    </row>
    <row r="166" spans="6:14" x14ac:dyDescent="0.25">
      <c r="F166" s="5" t="s">
        <v>102</v>
      </c>
      <c r="G166" s="5">
        <f>_xlfn.XLOOKUP(F166,Product_Master!$A$2:$A$26,Product_Master!$C$2:$C$26)</f>
        <v>499</v>
      </c>
      <c r="H166" s="5" t="str">
        <f>_xlfn.XLOOKUP(F166,Product_Master!$A$2:$A$26,Product_Master!$D$2:$D$26)</f>
        <v>Medium</v>
      </c>
      <c r="J166" s="4" t="s">
        <v>229</v>
      </c>
      <c r="K166" s="4">
        <v>0</v>
      </c>
      <c r="M166" s="4" t="s">
        <v>229</v>
      </c>
      <c r="N166" s="4">
        <f>SUMIF(Clean_sheet!C163:C662,client_formula_data!M166,Clean_sheet!K163:K662)</f>
        <v>5137</v>
      </c>
    </row>
    <row r="167" spans="6:14" x14ac:dyDescent="0.25">
      <c r="F167" s="5" t="s">
        <v>120</v>
      </c>
      <c r="G167" s="5">
        <f>_xlfn.XLOOKUP(F167,Product_Master!$A$2:$A$26,Product_Master!$C$2:$C$26)</f>
        <v>299</v>
      </c>
      <c r="H167" s="5" t="str">
        <f>_xlfn.XLOOKUP(F167,Product_Master!$A$2:$A$26,Product_Master!$D$2:$D$26)</f>
        <v>Medium</v>
      </c>
      <c r="J167" s="4" t="s">
        <v>91</v>
      </c>
      <c r="K167" s="4">
        <v>0</v>
      </c>
      <c r="M167" s="4" t="s">
        <v>91</v>
      </c>
      <c r="N167" s="4">
        <f>SUMIF(Clean_sheet!C164:C663,client_formula_data!M167,Clean_sheet!K164:K663)</f>
        <v>19583</v>
      </c>
    </row>
    <row r="168" spans="6:14" x14ac:dyDescent="0.25">
      <c r="F168" s="5" t="s">
        <v>69</v>
      </c>
      <c r="G168" s="5">
        <f>_xlfn.XLOOKUP(F168,Product_Master!$A$2:$A$26,Product_Master!$C$2:$C$26)</f>
        <v>499</v>
      </c>
      <c r="H168" s="5" t="str">
        <f>_xlfn.XLOOKUP(F168,Product_Master!$A$2:$A$26,Product_Master!$D$2:$D$26)</f>
        <v>Medium</v>
      </c>
      <c r="J168" s="4" t="s">
        <v>59</v>
      </c>
      <c r="K168" s="4">
        <v>0</v>
      </c>
      <c r="M168" s="4" t="s">
        <v>59</v>
      </c>
      <c r="N168" s="4">
        <f>SUMIF(Clean_sheet!C165:C664,client_formula_data!M168,Clean_sheet!K165:K664)</f>
        <v>20583</v>
      </c>
    </row>
    <row r="169" spans="6:14" x14ac:dyDescent="0.25">
      <c r="F169" s="5" t="s">
        <v>77</v>
      </c>
      <c r="G169" s="5">
        <f>_xlfn.XLOOKUP(F169,Product_Master!$A$2:$A$26,Product_Master!$C$2:$C$26)</f>
        <v>999</v>
      </c>
      <c r="H169" s="5" t="str">
        <f>_xlfn.XLOOKUP(F169,Product_Master!$A$2:$A$26,Product_Master!$D$2:$D$26)</f>
        <v>High</v>
      </c>
      <c r="J169" s="4" t="s">
        <v>72</v>
      </c>
      <c r="K169" s="4">
        <v>0</v>
      </c>
      <c r="M169" s="4" t="s">
        <v>72</v>
      </c>
      <c r="N169" s="4">
        <f>SUMIF(Clean_sheet!C166:C665,client_formula_data!M169,Clean_sheet!K166:K665)</f>
        <v>9790</v>
      </c>
    </row>
    <row r="170" spans="6:14" x14ac:dyDescent="0.25">
      <c r="F170" s="5" t="s">
        <v>52</v>
      </c>
      <c r="G170" s="5">
        <f>_xlfn.XLOOKUP(F170,Product_Master!$A$2:$A$26,Product_Master!$C$2:$C$26)</f>
        <v>299</v>
      </c>
      <c r="H170" s="5" t="str">
        <f>_xlfn.XLOOKUP(F170,Product_Master!$A$2:$A$26,Product_Master!$D$2:$D$26)</f>
        <v>Medium</v>
      </c>
      <c r="J170" s="4" t="s">
        <v>259</v>
      </c>
      <c r="K170" s="4">
        <v>0</v>
      </c>
      <c r="M170" s="4" t="s">
        <v>259</v>
      </c>
      <c r="N170" s="4">
        <f>SUMIF(Clean_sheet!C167:C666,client_formula_data!M170,Clean_sheet!K167:K666)</f>
        <v>12287</v>
      </c>
    </row>
    <row r="171" spans="6:14" x14ac:dyDescent="0.25">
      <c r="F171" s="5" t="s">
        <v>94</v>
      </c>
      <c r="G171" s="5">
        <f>_xlfn.XLOOKUP(F171,Product_Master!$A$2:$A$26,Product_Master!$C$2:$C$26)</f>
        <v>999</v>
      </c>
      <c r="H171" s="5" t="str">
        <f>_xlfn.XLOOKUP(F171,Product_Master!$A$2:$A$26,Product_Master!$D$2:$D$26)</f>
        <v>Medium</v>
      </c>
      <c r="J171" s="4" t="s">
        <v>342</v>
      </c>
      <c r="K171" s="4">
        <v>0</v>
      </c>
      <c r="M171" s="4" t="s">
        <v>342</v>
      </c>
      <c r="N171" s="4">
        <f>SUMIF(Clean_sheet!C168:C667,client_formula_data!M171,Clean_sheet!K168:K667)</f>
        <v>4794</v>
      </c>
    </row>
    <row r="172" spans="6:14" x14ac:dyDescent="0.25">
      <c r="F172" s="5" t="s">
        <v>45</v>
      </c>
      <c r="G172" s="5">
        <f>_xlfn.XLOOKUP(F172,Product_Master!$A$2:$A$26,Product_Master!$C$2:$C$26)</f>
        <v>249</v>
      </c>
      <c r="H172" s="5" t="str">
        <f>_xlfn.XLOOKUP(F172,Product_Master!$A$2:$A$26,Product_Master!$D$2:$D$26)</f>
        <v>High</v>
      </c>
      <c r="J172" s="4" t="s">
        <v>276</v>
      </c>
      <c r="K172" s="4">
        <v>0</v>
      </c>
      <c r="M172" s="4" t="s">
        <v>276</v>
      </c>
      <c r="N172" s="4">
        <f>SUMIF(Clean_sheet!C169:C668,client_formula_data!M172,Clean_sheet!K169:K668)</f>
        <v>3792</v>
      </c>
    </row>
    <row r="173" spans="6:14" x14ac:dyDescent="0.25">
      <c r="F173" s="5" t="s">
        <v>133</v>
      </c>
      <c r="G173" s="5">
        <f>_xlfn.XLOOKUP(F173,Product_Master!$A$2:$A$26,Product_Master!$C$2:$C$26)</f>
        <v>249</v>
      </c>
      <c r="H173" s="5" t="str">
        <f>_xlfn.XLOOKUP(F173,Product_Master!$A$2:$A$26,Product_Master!$D$2:$D$26)</f>
        <v>High</v>
      </c>
      <c r="J173" s="4" t="s">
        <v>72</v>
      </c>
      <c r="K173" s="4">
        <v>0</v>
      </c>
      <c r="M173" s="4" t="s">
        <v>72</v>
      </c>
      <c r="N173" s="4">
        <f>SUMIF(Clean_sheet!C170:C669,client_formula_data!M173,Clean_sheet!K170:K669)</f>
        <v>5293</v>
      </c>
    </row>
    <row r="174" spans="6:14" x14ac:dyDescent="0.25">
      <c r="F174" s="5" t="s">
        <v>81</v>
      </c>
      <c r="G174" s="5">
        <f>_xlfn.XLOOKUP(F174,Product_Master!$A$2:$A$26,Product_Master!$C$2:$C$26)</f>
        <v>299</v>
      </c>
      <c r="H174" s="5" t="str">
        <f>_xlfn.XLOOKUP(F174,Product_Master!$A$2:$A$26,Product_Master!$D$2:$D$26)</f>
        <v>Low</v>
      </c>
      <c r="J174" s="4" t="s">
        <v>56</v>
      </c>
      <c r="K174" s="4">
        <v>0</v>
      </c>
      <c r="M174" s="4" t="s">
        <v>56</v>
      </c>
      <c r="N174" s="4">
        <f>SUMIF(Clean_sheet!C171:C670,client_formula_data!M174,Clean_sheet!K171:K670)</f>
        <v>14579</v>
      </c>
    </row>
    <row r="175" spans="6:14" x14ac:dyDescent="0.25">
      <c r="F175" s="5" t="s">
        <v>69</v>
      </c>
      <c r="G175" s="5">
        <f>_xlfn.XLOOKUP(F175,Product_Master!$A$2:$A$26,Product_Master!$C$2:$C$26)</f>
        <v>499</v>
      </c>
      <c r="H175" s="5" t="str">
        <f>_xlfn.XLOOKUP(F175,Product_Master!$A$2:$A$26,Product_Master!$D$2:$D$26)</f>
        <v>Medium</v>
      </c>
      <c r="J175" s="4" t="s">
        <v>105</v>
      </c>
      <c r="K175" s="4">
        <v>0</v>
      </c>
      <c r="M175" s="4" t="s">
        <v>105</v>
      </c>
      <c r="N175" s="4">
        <f>SUMIF(Clean_sheet!C172:C671,client_formula_data!M175,Clean_sheet!K172:K671)</f>
        <v>4994</v>
      </c>
    </row>
    <row r="176" spans="6:14" x14ac:dyDescent="0.25">
      <c r="F176" s="5" t="s">
        <v>45</v>
      </c>
      <c r="G176" s="5">
        <f>_xlfn.XLOOKUP(F176,Product_Master!$A$2:$A$26,Product_Master!$C$2:$C$26)</f>
        <v>249</v>
      </c>
      <c r="H176" s="5" t="str">
        <f>_xlfn.XLOOKUP(F176,Product_Master!$A$2:$A$26,Product_Master!$D$2:$D$26)</f>
        <v>High</v>
      </c>
      <c r="J176" s="4" t="s">
        <v>190</v>
      </c>
      <c r="K176" s="4">
        <v>0</v>
      </c>
      <c r="M176" s="4" t="s">
        <v>190</v>
      </c>
      <c r="N176" s="4">
        <f>SUMIF(Clean_sheet!C173:C672,client_formula_data!M176,Clean_sheet!K173:K672)</f>
        <v>8991</v>
      </c>
    </row>
    <row r="177" spans="6:14" x14ac:dyDescent="0.25">
      <c r="F177" s="5" t="s">
        <v>73</v>
      </c>
      <c r="G177" s="5">
        <f>_xlfn.XLOOKUP(F177,Product_Master!$A$2:$A$26,Product_Master!$C$2:$C$26)</f>
        <v>1499</v>
      </c>
      <c r="H177" s="5" t="str">
        <f>_xlfn.XLOOKUP(F177,Product_Master!$A$2:$A$26,Product_Master!$D$2:$D$26)</f>
        <v>Medium</v>
      </c>
      <c r="J177" s="4" t="s">
        <v>116</v>
      </c>
      <c r="K177" s="4">
        <v>0</v>
      </c>
      <c r="M177" s="4" t="s">
        <v>116</v>
      </c>
      <c r="N177" s="4">
        <f>SUMIF(Clean_sheet!C174:C673,client_formula_data!M177,Clean_sheet!K174:K673)</f>
        <v>14039</v>
      </c>
    </row>
    <row r="178" spans="6:14" x14ac:dyDescent="0.25">
      <c r="F178" s="5" t="s">
        <v>156</v>
      </c>
      <c r="G178" s="5">
        <f>_xlfn.XLOOKUP(F178,Product_Master!$A$2:$A$26,Product_Master!$C$2:$C$26)</f>
        <v>599</v>
      </c>
      <c r="H178" s="5" t="str">
        <f>_xlfn.XLOOKUP(F178,Product_Master!$A$2:$A$26,Product_Master!$D$2:$D$26)</f>
        <v>High</v>
      </c>
      <c r="J178" s="4" t="s">
        <v>350</v>
      </c>
      <c r="K178" s="4">
        <v>0</v>
      </c>
      <c r="M178" s="4" t="s">
        <v>350</v>
      </c>
      <c r="N178" s="4">
        <f>SUMIF(Clean_sheet!C175:C674,client_formula_data!M178,Clean_sheet!K175:K674)</f>
        <v>2490</v>
      </c>
    </row>
    <row r="179" spans="6:14" x14ac:dyDescent="0.25">
      <c r="F179" s="5" t="s">
        <v>99</v>
      </c>
      <c r="G179" s="5">
        <f>_xlfn.XLOOKUP(F179,Product_Master!$A$2:$A$26,Product_Master!$C$2:$C$26)</f>
        <v>1499</v>
      </c>
      <c r="H179" s="5" t="str">
        <f>_xlfn.XLOOKUP(F179,Product_Master!$A$2:$A$26,Product_Master!$D$2:$D$26)</f>
        <v>Low</v>
      </c>
      <c r="J179" s="4" t="s">
        <v>42</v>
      </c>
      <c r="K179" s="4">
        <v>0</v>
      </c>
      <c r="M179" s="4" t="s">
        <v>42</v>
      </c>
      <c r="N179" s="4">
        <f>SUMIF(Clean_sheet!C176:C675,client_formula_data!M179,Clean_sheet!K176:K675)</f>
        <v>10586</v>
      </c>
    </row>
    <row r="180" spans="6:14" x14ac:dyDescent="0.25">
      <c r="F180" s="5" t="s">
        <v>120</v>
      </c>
      <c r="G180" s="5">
        <f>_xlfn.XLOOKUP(F180,Product_Master!$A$2:$A$26,Product_Master!$C$2:$C$26)</f>
        <v>299</v>
      </c>
      <c r="H180" s="5" t="str">
        <f>_xlfn.XLOOKUP(F180,Product_Master!$A$2:$A$26,Product_Master!$D$2:$D$26)</f>
        <v>Medium</v>
      </c>
      <c r="J180" s="4" t="s">
        <v>353</v>
      </c>
      <c r="K180" s="4">
        <v>0</v>
      </c>
      <c r="M180" s="4" t="s">
        <v>353</v>
      </c>
      <c r="N180" s="4">
        <f>SUMIF(Clean_sheet!C177:C676,client_formula_data!M180,Clean_sheet!K177:K676)</f>
        <v>3992</v>
      </c>
    </row>
    <row r="181" spans="6:14" x14ac:dyDescent="0.25">
      <c r="F181" s="5" t="s">
        <v>355</v>
      </c>
      <c r="G181" s="5">
        <f>_xlfn.XLOOKUP(F181,Product_Master!$A$2:$A$26,Product_Master!$C$2:$C$26)</f>
        <v>2499</v>
      </c>
      <c r="H181" s="5" t="str">
        <f>_xlfn.XLOOKUP(F181,Product_Master!$A$2:$A$26,Product_Master!$D$2:$D$26)</f>
        <v>Medium</v>
      </c>
      <c r="J181" s="4" t="s">
        <v>72</v>
      </c>
      <c r="K181" s="4">
        <v>0</v>
      </c>
      <c r="M181" s="4" t="s">
        <v>72</v>
      </c>
      <c r="N181" s="4">
        <f>SUMIF(Clean_sheet!C178:C677,client_formula_data!M181,Clean_sheet!K178:K677)</f>
        <v>4495</v>
      </c>
    </row>
    <row r="182" spans="6:14" x14ac:dyDescent="0.25">
      <c r="F182" s="5" t="s">
        <v>235</v>
      </c>
      <c r="G182" s="5">
        <f>_xlfn.XLOOKUP(F182,Product_Master!$A$2:$A$26,Product_Master!$C$2:$C$26)</f>
        <v>399</v>
      </c>
      <c r="H182" s="5" t="str">
        <f>_xlfn.XLOOKUP(F182,Product_Master!$A$2:$A$26,Product_Master!$D$2:$D$26)</f>
        <v>High</v>
      </c>
      <c r="J182" s="4" t="s">
        <v>357</v>
      </c>
      <c r="K182" s="4">
        <v>0</v>
      </c>
      <c r="M182" s="4" t="s">
        <v>357</v>
      </c>
      <c r="N182" s="4">
        <f>SUMIF(Clean_sheet!C179:C678,client_formula_data!M182,Clean_sheet!K179:K678)</f>
        <v>897</v>
      </c>
    </row>
    <row r="183" spans="6:14" x14ac:dyDescent="0.25">
      <c r="F183" s="5" t="s">
        <v>69</v>
      </c>
      <c r="G183" s="5">
        <f>_xlfn.XLOOKUP(F183,Product_Master!$A$2:$A$26,Product_Master!$C$2:$C$26)</f>
        <v>499</v>
      </c>
      <c r="H183" s="5" t="str">
        <f>_xlfn.XLOOKUP(F183,Product_Master!$A$2:$A$26,Product_Master!$D$2:$D$26)</f>
        <v>Medium</v>
      </c>
      <c r="J183" s="4" t="s">
        <v>290</v>
      </c>
      <c r="K183" s="4">
        <v>0</v>
      </c>
      <c r="M183" s="4" t="s">
        <v>290</v>
      </c>
      <c r="N183" s="4">
        <f>SUMIF(Clean_sheet!C180:C679,client_formula_data!M183,Clean_sheet!K180:K679)</f>
        <v>599</v>
      </c>
    </row>
    <row r="184" spans="6:14" x14ac:dyDescent="0.25">
      <c r="F184" s="5" t="s">
        <v>200</v>
      </c>
      <c r="G184" s="5">
        <f>_xlfn.XLOOKUP(F184,Product_Master!$A$2:$A$26,Product_Master!$C$2:$C$26)</f>
        <v>1299</v>
      </c>
      <c r="H184" s="5" t="str">
        <f>_xlfn.XLOOKUP(F184,Product_Master!$A$2:$A$26,Product_Master!$D$2:$D$26)</f>
        <v>High</v>
      </c>
      <c r="J184" s="4" t="s">
        <v>360</v>
      </c>
      <c r="K184" s="4">
        <v>0</v>
      </c>
      <c r="M184" s="4" t="s">
        <v>360</v>
      </c>
      <c r="N184" s="4">
        <f>SUMIF(Clean_sheet!C181:C680,client_formula_data!M184,Clean_sheet!K181:K680)</f>
        <v>10973</v>
      </c>
    </row>
    <row r="185" spans="6:14" x14ac:dyDescent="0.25">
      <c r="F185" s="5" t="s">
        <v>140</v>
      </c>
      <c r="G185" s="5">
        <f>_xlfn.XLOOKUP(F185,Product_Master!$A$2:$A$26,Product_Master!$C$2:$C$26)</f>
        <v>499</v>
      </c>
      <c r="H185" s="5" t="str">
        <f>_xlfn.XLOOKUP(F185,Product_Master!$A$2:$A$26,Product_Master!$D$2:$D$26)</f>
        <v>Medium</v>
      </c>
      <c r="J185" s="4" t="s">
        <v>119</v>
      </c>
      <c r="K185" s="4">
        <v>0</v>
      </c>
      <c r="M185" s="4" t="s">
        <v>119</v>
      </c>
      <c r="N185" s="4">
        <f>SUMIF(Clean_sheet!C182:C681,client_formula_data!M185,Clean_sheet!K182:K681)</f>
        <v>13783</v>
      </c>
    </row>
    <row r="186" spans="6:14" x14ac:dyDescent="0.25">
      <c r="F186" s="5" t="s">
        <v>133</v>
      </c>
      <c r="G186" s="5">
        <f>_xlfn.XLOOKUP(F186,Product_Master!$A$2:$A$26,Product_Master!$C$2:$C$26)</f>
        <v>249</v>
      </c>
      <c r="H186" s="5" t="str">
        <f>_xlfn.XLOOKUP(F186,Product_Master!$A$2:$A$26,Product_Master!$D$2:$D$26)</f>
        <v>High</v>
      </c>
      <c r="J186" s="4" t="s">
        <v>266</v>
      </c>
      <c r="K186" s="4">
        <v>0</v>
      </c>
      <c r="M186" s="4" t="s">
        <v>266</v>
      </c>
      <c r="N186" s="4">
        <f>SUMIF(Clean_sheet!C183:C682,client_formula_data!M186,Clean_sheet!K183:K682)</f>
        <v>7586</v>
      </c>
    </row>
    <row r="187" spans="6:14" x14ac:dyDescent="0.25">
      <c r="F187" s="5" t="s">
        <v>120</v>
      </c>
      <c r="G187" s="5">
        <f>_xlfn.XLOOKUP(F187,Product_Master!$A$2:$A$26,Product_Master!$C$2:$C$26)</f>
        <v>299</v>
      </c>
      <c r="H187" s="5" t="str">
        <f>_xlfn.XLOOKUP(F187,Product_Master!$A$2:$A$26,Product_Master!$D$2:$D$26)</f>
        <v>Medium</v>
      </c>
      <c r="J187" s="4" t="s">
        <v>257</v>
      </c>
      <c r="K187" s="4">
        <v>0</v>
      </c>
      <c r="M187" s="4" t="s">
        <v>257</v>
      </c>
      <c r="N187" s="4">
        <f>SUMIF(Clean_sheet!C184:C683,client_formula_data!M187,Clean_sheet!K184:K683)</f>
        <v>29276</v>
      </c>
    </row>
    <row r="188" spans="6:14" x14ac:dyDescent="0.25">
      <c r="F188" s="5" t="s">
        <v>171</v>
      </c>
      <c r="G188" s="5">
        <f>_xlfn.XLOOKUP(F188,Product_Master!$A$2:$A$26,Product_Master!$C$2:$C$26)</f>
        <v>299</v>
      </c>
      <c r="H188" s="5" t="str">
        <f>_xlfn.XLOOKUP(F188,Product_Master!$A$2:$A$26,Product_Master!$D$2:$D$26)</f>
        <v>High</v>
      </c>
      <c r="J188" s="4" t="s">
        <v>205</v>
      </c>
      <c r="K188" s="4">
        <v>0</v>
      </c>
      <c r="M188" s="4" t="s">
        <v>205</v>
      </c>
      <c r="N188" s="4">
        <f>SUMIF(Clean_sheet!C185:C684,client_formula_data!M188,Clean_sheet!K185:K684)</f>
        <v>2496</v>
      </c>
    </row>
    <row r="189" spans="6:14" x14ac:dyDescent="0.25">
      <c r="F189" s="5" t="s">
        <v>156</v>
      </c>
      <c r="G189" s="5">
        <f>_xlfn.XLOOKUP(F189,Product_Master!$A$2:$A$26,Product_Master!$C$2:$C$26)</f>
        <v>599</v>
      </c>
      <c r="H189" s="5" t="str">
        <f>_xlfn.XLOOKUP(F189,Product_Master!$A$2:$A$26,Product_Master!$D$2:$D$26)</f>
        <v>High</v>
      </c>
      <c r="J189" s="4" t="s">
        <v>366</v>
      </c>
      <c r="K189" s="4">
        <v>0</v>
      </c>
      <c r="M189" s="4" t="s">
        <v>366</v>
      </c>
      <c r="N189" s="4">
        <f>SUMIF(Clean_sheet!C186:C685,client_formula_data!M189,Clean_sheet!K186:K685)</f>
        <v>8485</v>
      </c>
    </row>
    <row r="190" spans="6:14" x14ac:dyDescent="0.25">
      <c r="F190" s="5" t="s">
        <v>133</v>
      </c>
      <c r="G190" s="5">
        <f>_xlfn.XLOOKUP(F190,Product_Master!$A$2:$A$26,Product_Master!$C$2:$C$26)</f>
        <v>249</v>
      </c>
      <c r="H190" s="5" t="str">
        <f>_xlfn.XLOOKUP(F190,Product_Master!$A$2:$A$26,Product_Master!$D$2:$D$26)</f>
        <v>High</v>
      </c>
      <c r="J190" s="4" t="s">
        <v>164</v>
      </c>
      <c r="K190" s="4">
        <v>0</v>
      </c>
      <c r="M190" s="4" t="s">
        <v>164</v>
      </c>
      <c r="N190" s="4">
        <f>SUMIF(Clean_sheet!C187:C686,client_formula_data!M190,Clean_sheet!K187:K686)</f>
        <v>10190</v>
      </c>
    </row>
    <row r="191" spans="6:14" x14ac:dyDescent="0.25">
      <c r="F191" s="5" t="s">
        <v>30</v>
      </c>
      <c r="G191" s="5">
        <f>_xlfn.XLOOKUP(F191,Product_Master!$A$2:$A$26,Product_Master!$C$2:$C$26)</f>
        <v>799</v>
      </c>
      <c r="H191" s="5" t="str">
        <f>_xlfn.XLOOKUP(F191,Product_Master!$A$2:$A$26,Product_Master!$D$2:$D$26)</f>
        <v>High</v>
      </c>
      <c r="J191" s="4" t="s">
        <v>114</v>
      </c>
      <c r="K191" s="4">
        <v>0</v>
      </c>
      <c r="M191" s="4" t="s">
        <v>114</v>
      </c>
      <c r="N191" s="4">
        <f>SUMIF(Clean_sheet!C188:C687,client_formula_data!M191,Clean_sheet!K188:K687)</f>
        <v>9738</v>
      </c>
    </row>
    <row r="192" spans="6:14" x14ac:dyDescent="0.25">
      <c r="F192" s="5" t="s">
        <v>108</v>
      </c>
      <c r="G192" s="5">
        <f>_xlfn.XLOOKUP(F192,Product_Master!$A$2:$A$26,Product_Master!$C$2:$C$26)</f>
        <v>499</v>
      </c>
      <c r="H192" s="5" t="str">
        <f>_xlfn.XLOOKUP(F192,Product_Master!$A$2:$A$26,Product_Master!$D$2:$D$26)</f>
        <v>Medium</v>
      </c>
      <c r="J192" s="4" t="s">
        <v>370</v>
      </c>
      <c r="K192" s="4">
        <v>0</v>
      </c>
      <c r="M192" s="4" t="s">
        <v>370</v>
      </c>
      <c r="N192" s="4">
        <f>SUMIF(Clean_sheet!C189:C688,client_formula_data!M192,Clean_sheet!K189:K688)</f>
        <v>3893</v>
      </c>
    </row>
    <row r="193" spans="6:14" x14ac:dyDescent="0.25">
      <c r="F193" s="5" t="s">
        <v>21</v>
      </c>
      <c r="G193" s="5">
        <f>_xlfn.XLOOKUP(F193,Product_Master!$A$2:$A$26,Product_Master!$C$2:$C$26)</f>
        <v>1499</v>
      </c>
      <c r="H193" s="5" t="str">
        <f>_xlfn.XLOOKUP(F193,Product_Master!$A$2:$A$26,Product_Master!$D$2:$D$26)</f>
        <v>Low</v>
      </c>
      <c r="J193" s="4" t="s">
        <v>372</v>
      </c>
      <c r="K193" s="4">
        <v>0</v>
      </c>
      <c r="M193" s="4" t="s">
        <v>372</v>
      </c>
      <c r="N193" s="4">
        <f>SUMIF(Clean_sheet!C190:C689,client_formula_data!M193,Clean_sheet!K190:K689)</f>
        <v>11493</v>
      </c>
    </row>
    <row r="194" spans="6:14" x14ac:dyDescent="0.25">
      <c r="F194" s="5" t="s">
        <v>108</v>
      </c>
      <c r="G194" s="5">
        <f>_xlfn.XLOOKUP(F194,Product_Master!$A$2:$A$26,Product_Master!$C$2:$C$26)</f>
        <v>499</v>
      </c>
      <c r="H194" s="5" t="str">
        <f>_xlfn.XLOOKUP(F194,Product_Master!$A$2:$A$26,Product_Master!$D$2:$D$26)</f>
        <v>Medium</v>
      </c>
      <c r="J194" s="4" t="s">
        <v>202</v>
      </c>
      <c r="K194" s="4">
        <v>0</v>
      </c>
      <c r="M194" s="4" t="s">
        <v>202</v>
      </c>
      <c r="N194" s="4">
        <f>SUMIF(Clean_sheet!C191:C690,client_formula_data!M194,Clean_sheet!K191:K690)</f>
        <v>5696</v>
      </c>
    </row>
    <row r="195" spans="6:14" x14ac:dyDescent="0.25">
      <c r="F195" s="5" t="s">
        <v>355</v>
      </c>
      <c r="G195" s="5">
        <f>_xlfn.XLOOKUP(F195,Product_Master!$A$2:$A$26,Product_Master!$C$2:$C$26)</f>
        <v>2499</v>
      </c>
      <c r="H195" s="5" t="str">
        <f>_xlfn.XLOOKUP(F195,Product_Master!$A$2:$A$26,Product_Master!$D$2:$D$26)</f>
        <v>Medium</v>
      </c>
      <c r="J195" s="4" t="s">
        <v>276</v>
      </c>
      <c r="K195" s="4">
        <v>0</v>
      </c>
      <c r="M195" s="4" t="s">
        <v>276</v>
      </c>
      <c r="N195" s="4">
        <f>SUMIF(Clean_sheet!C192:C691,client_formula_data!M195,Clean_sheet!K192:K691)</f>
        <v>1995</v>
      </c>
    </row>
    <row r="196" spans="6:14" x14ac:dyDescent="0.25">
      <c r="F196" s="5" t="s">
        <v>156</v>
      </c>
      <c r="G196" s="5">
        <f>_xlfn.XLOOKUP(F196,Product_Master!$A$2:$A$26,Product_Master!$C$2:$C$26)</f>
        <v>599</v>
      </c>
      <c r="H196" s="5" t="str">
        <f>_xlfn.XLOOKUP(F196,Product_Master!$A$2:$A$26,Product_Master!$D$2:$D$26)</f>
        <v>High</v>
      </c>
      <c r="J196" s="4" t="s">
        <v>272</v>
      </c>
      <c r="K196" s="4">
        <v>0</v>
      </c>
      <c r="M196" s="4" t="s">
        <v>272</v>
      </c>
      <c r="N196" s="4">
        <f>SUMIF(Clean_sheet!C193:C692,client_formula_data!M196,Clean_sheet!K193:K692)</f>
        <v>26575</v>
      </c>
    </row>
    <row r="197" spans="6:14" x14ac:dyDescent="0.25">
      <c r="F197" s="5" t="s">
        <v>69</v>
      </c>
      <c r="G197" s="5">
        <f>_xlfn.XLOOKUP(F197,Product_Master!$A$2:$A$26,Product_Master!$C$2:$C$26)</f>
        <v>499</v>
      </c>
      <c r="H197" s="5" t="str">
        <f>_xlfn.XLOOKUP(F197,Product_Master!$A$2:$A$26,Product_Master!$D$2:$D$26)</f>
        <v>Medium</v>
      </c>
      <c r="J197" s="4" t="s">
        <v>377</v>
      </c>
      <c r="K197" s="4">
        <v>0</v>
      </c>
      <c r="M197" s="4" t="s">
        <v>377</v>
      </c>
      <c r="N197" s="4">
        <f>SUMIF(Clean_sheet!C194:C693,client_formula_data!M197,Clean_sheet!K194:K693)</f>
        <v>4190</v>
      </c>
    </row>
    <row r="198" spans="6:14" x14ac:dyDescent="0.25">
      <c r="F198" s="5" t="s">
        <v>140</v>
      </c>
      <c r="G198" s="5">
        <f>_xlfn.XLOOKUP(F198,Product_Master!$A$2:$A$26,Product_Master!$C$2:$C$26)</f>
        <v>499</v>
      </c>
      <c r="H198" s="5" t="str">
        <f>_xlfn.XLOOKUP(F198,Product_Master!$A$2:$A$26,Product_Master!$D$2:$D$26)</f>
        <v>Medium</v>
      </c>
      <c r="J198" s="4" t="s">
        <v>302</v>
      </c>
      <c r="K198" s="4">
        <v>0</v>
      </c>
      <c r="M198" s="4" t="s">
        <v>302</v>
      </c>
      <c r="N198" s="4">
        <f>SUMIF(Clean_sheet!C195:C694,client_formula_data!M198,Clean_sheet!K195:K694)</f>
        <v>6283</v>
      </c>
    </row>
    <row r="199" spans="6:14" x14ac:dyDescent="0.25">
      <c r="F199" s="5" t="s">
        <v>81</v>
      </c>
      <c r="G199" s="5">
        <f>_xlfn.XLOOKUP(F199,Product_Master!$A$2:$A$26,Product_Master!$C$2:$C$26)</f>
        <v>299</v>
      </c>
      <c r="H199" s="5" t="str">
        <f>_xlfn.XLOOKUP(F199,Product_Master!$A$2:$A$26,Product_Master!$D$2:$D$26)</f>
        <v>Low</v>
      </c>
      <c r="J199" s="4" t="s">
        <v>296</v>
      </c>
      <c r="K199" s="4">
        <v>0</v>
      </c>
      <c r="M199" s="4" t="s">
        <v>296</v>
      </c>
      <c r="N199" s="4">
        <f>SUMIF(Clean_sheet!C196:C695,client_formula_data!M199,Clean_sheet!K196:K695)</f>
        <v>597</v>
      </c>
    </row>
    <row r="200" spans="6:14" x14ac:dyDescent="0.25">
      <c r="F200" s="5" t="s">
        <v>99</v>
      </c>
      <c r="G200" s="5">
        <f>_xlfn.XLOOKUP(F200,Product_Master!$A$2:$A$26,Product_Master!$C$2:$C$26)</f>
        <v>1499</v>
      </c>
      <c r="H200" s="5" t="str">
        <f>_xlfn.XLOOKUP(F200,Product_Master!$A$2:$A$26,Product_Master!$D$2:$D$26)</f>
        <v>Low</v>
      </c>
      <c r="J200" s="4" t="s">
        <v>97</v>
      </c>
      <c r="K200" s="4">
        <v>0</v>
      </c>
      <c r="M200" s="4" t="s">
        <v>97</v>
      </c>
      <c r="N200" s="4">
        <f>SUMIF(Clean_sheet!C197:C696,client_formula_data!M200,Clean_sheet!K197:K696)</f>
        <v>40765</v>
      </c>
    </row>
    <row r="201" spans="6:14" x14ac:dyDescent="0.25">
      <c r="F201" s="5" t="s">
        <v>108</v>
      </c>
      <c r="G201" s="5">
        <f>_xlfn.XLOOKUP(F201,Product_Master!$A$2:$A$26,Product_Master!$C$2:$C$26)</f>
        <v>499</v>
      </c>
      <c r="H201" s="5" t="str">
        <f>_xlfn.XLOOKUP(F201,Product_Master!$A$2:$A$26,Product_Master!$D$2:$D$26)</f>
        <v>Medium</v>
      </c>
      <c r="J201" s="4" t="s">
        <v>42</v>
      </c>
      <c r="K201" s="4">
        <v>0</v>
      </c>
      <c r="M201" s="4" t="s">
        <v>42</v>
      </c>
      <c r="N201" s="4">
        <f>SUMIF(Clean_sheet!C198:C697,client_formula_data!M201,Clean_sheet!K198:K697)</f>
        <v>6591</v>
      </c>
    </row>
    <row r="202" spans="6:14" x14ac:dyDescent="0.25">
      <c r="F202" s="5" t="s">
        <v>37</v>
      </c>
      <c r="G202" s="5">
        <f>_xlfn.XLOOKUP(F202,Product_Master!$A$2:$A$26,Product_Master!$C$2:$C$26)</f>
        <v>1999</v>
      </c>
      <c r="H202" s="5" t="str">
        <f>_xlfn.XLOOKUP(F202,Product_Master!$A$2:$A$26,Product_Master!$D$2:$D$26)</f>
        <v>High</v>
      </c>
      <c r="J202" s="4" t="s">
        <v>313</v>
      </c>
      <c r="K202" s="4">
        <v>0</v>
      </c>
      <c r="M202" s="4" t="s">
        <v>313</v>
      </c>
      <c r="N202" s="4">
        <f>SUMIF(Clean_sheet!C199:C698,client_formula_data!M202,Clean_sheet!K199:K698)</f>
        <v>3341</v>
      </c>
    </row>
    <row r="203" spans="6:14" x14ac:dyDescent="0.25">
      <c r="F203" s="5" t="s">
        <v>77</v>
      </c>
      <c r="G203" s="5">
        <f>_xlfn.XLOOKUP(F203,Product_Master!$A$2:$A$26,Product_Master!$C$2:$C$26)</f>
        <v>999</v>
      </c>
      <c r="H203" s="5" t="str">
        <f>_xlfn.XLOOKUP(F203,Product_Master!$A$2:$A$26,Product_Master!$D$2:$D$26)</f>
        <v>High</v>
      </c>
      <c r="J203" s="4" t="s">
        <v>270</v>
      </c>
      <c r="K203" s="4">
        <v>0</v>
      </c>
      <c r="M203" s="4" t="s">
        <v>270</v>
      </c>
      <c r="N203" s="4">
        <f>SUMIF(Clean_sheet!C200:C699,client_formula_data!M203,Clean_sheet!K200:K699)</f>
        <v>12731</v>
      </c>
    </row>
    <row r="204" spans="6:14" x14ac:dyDescent="0.25">
      <c r="F204" s="5" t="s">
        <v>200</v>
      </c>
      <c r="G204" s="5">
        <f>_xlfn.XLOOKUP(F204,Product_Master!$A$2:$A$26,Product_Master!$C$2:$C$26)</f>
        <v>1299</v>
      </c>
      <c r="H204" s="5" t="str">
        <f>_xlfn.XLOOKUP(F204,Product_Master!$A$2:$A$26,Product_Master!$D$2:$D$26)</f>
        <v>High</v>
      </c>
      <c r="J204" s="4" t="s">
        <v>42</v>
      </c>
      <c r="K204" s="4">
        <v>0</v>
      </c>
      <c r="M204" s="4" t="s">
        <v>42</v>
      </c>
      <c r="N204" s="4">
        <f>SUMIF(Clean_sheet!C201:C700,client_formula_data!M204,Clean_sheet!K201:K700)</f>
        <v>6092</v>
      </c>
    </row>
    <row r="205" spans="6:14" x14ac:dyDescent="0.25">
      <c r="F205" s="5" t="s">
        <v>140</v>
      </c>
      <c r="G205" s="5">
        <f>_xlfn.XLOOKUP(F205,Product_Master!$A$2:$A$26,Product_Master!$C$2:$C$26)</f>
        <v>499</v>
      </c>
      <c r="H205" s="5" t="str">
        <f>_xlfn.XLOOKUP(F205,Product_Master!$A$2:$A$26,Product_Master!$D$2:$D$26)</f>
        <v>Medium</v>
      </c>
      <c r="J205" s="4" t="s">
        <v>182</v>
      </c>
      <c r="K205" s="4">
        <v>0</v>
      </c>
      <c r="M205" s="4" t="s">
        <v>182</v>
      </c>
      <c r="N205" s="4">
        <f>SUMIF(Clean_sheet!C202:C701,client_formula_data!M205,Clean_sheet!K202:K701)</f>
        <v>15891</v>
      </c>
    </row>
    <row r="206" spans="6:14" x14ac:dyDescent="0.25">
      <c r="F206" s="5" t="s">
        <v>64</v>
      </c>
      <c r="G206" s="5">
        <f>_xlfn.XLOOKUP(F206,Product_Master!$A$2:$A$26,Product_Master!$C$2:$C$26)</f>
        <v>599</v>
      </c>
      <c r="H206" s="5" t="str">
        <f>_xlfn.XLOOKUP(F206,Product_Master!$A$2:$A$26,Product_Master!$D$2:$D$26)</f>
        <v>Low</v>
      </c>
      <c r="J206" s="4" t="s">
        <v>142</v>
      </c>
      <c r="K206" s="4">
        <v>0</v>
      </c>
      <c r="M206" s="4" t="s">
        <v>142</v>
      </c>
      <c r="N206" s="4">
        <f>SUMIF(Clean_sheet!C203:C702,client_formula_data!M206,Clean_sheet!K203:K702)</f>
        <v>8692</v>
      </c>
    </row>
    <row r="207" spans="6:14" x14ac:dyDescent="0.25">
      <c r="F207" s="5" t="s">
        <v>137</v>
      </c>
      <c r="G207" s="5">
        <f>_xlfn.XLOOKUP(F207,Product_Master!$A$2:$A$26,Product_Master!$C$2:$C$26)</f>
        <v>299</v>
      </c>
      <c r="H207" s="5" t="str">
        <f>_xlfn.XLOOKUP(F207,Product_Master!$A$2:$A$26,Product_Master!$D$2:$D$26)</f>
        <v>Low</v>
      </c>
      <c r="J207" s="4" t="s">
        <v>388</v>
      </c>
      <c r="K207" s="4">
        <v>0</v>
      </c>
      <c r="M207" s="4" t="s">
        <v>388</v>
      </c>
      <c r="N207" s="4">
        <f>SUMIF(Clean_sheet!C204:C703,client_formula_data!M207,Clean_sheet!K204:K703)</f>
        <v>27881</v>
      </c>
    </row>
    <row r="208" spans="6:14" x14ac:dyDescent="0.25">
      <c r="F208" s="5" t="s">
        <v>37</v>
      </c>
      <c r="G208" s="5">
        <f>_xlfn.XLOOKUP(F208,Product_Master!$A$2:$A$26,Product_Master!$C$2:$C$26)</f>
        <v>1999</v>
      </c>
      <c r="H208" s="5" t="str">
        <f>_xlfn.XLOOKUP(F208,Product_Master!$A$2:$A$26,Product_Master!$D$2:$D$26)</f>
        <v>High</v>
      </c>
      <c r="J208" s="4" t="s">
        <v>310</v>
      </c>
      <c r="K208" s="4">
        <v>0</v>
      </c>
      <c r="M208" s="4" t="s">
        <v>310</v>
      </c>
      <c r="N208" s="4">
        <f>SUMIF(Clean_sheet!C205:C704,client_formula_data!M208,Clean_sheet!K205:K704)</f>
        <v>9189</v>
      </c>
    </row>
    <row r="209" spans="6:14" x14ac:dyDescent="0.25">
      <c r="F209" s="5" t="s">
        <v>355</v>
      </c>
      <c r="G209" s="5">
        <f>_xlfn.XLOOKUP(F209,Product_Master!$A$2:$A$26,Product_Master!$C$2:$C$26)</f>
        <v>2499</v>
      </c>
      <c r="H209" s="5" t="str">
        <f>_xlfn.XLOOKUP(F209,Product_Master!$A$2:$A$26,Product_Master!$D$2:$D$26)</f>
        <v>Medium</v>
      </c>
      <c r="J209" s="4" t="s">
        <v>202</v>
      </c>
      <c r="K209" s="4">
        <v>0</v>
      </c>
      <c r="M209" s="4" t="s">
        <v>202</v>
      </c>
      <c r="N209" s="4">
        <f>SUMIF(Clean_sheet!C206:C705,client_formula_data!M209,Clean_sheet!K206:K705)</f>
        <v>4397</v>
      </c>
    </row>
    <row r="210" spans="6:14" x14ac:dyDescent="0.25">
      <c r="F210" s="5" t="s">
        <v>133</v>
      </c>
      <c r="G210" s="5">
        <f>_xlfn.XLOOKUP(F210,Product_Master!$A$2:$A$26,Product_Master!$C$2:$C$26)</f>
        <v>249</v>
      </c>
      <c r="H210" s="5" t="str">
        <f>_xlfn.XLOOKUP(F210,Product_Master!$A$2:$A$26,Product_Master!$D$2:$D$26)</f>
        <v>High</v>
      </c>
      <c r="J210" s="4" t="s">
        <v>153</v>
      </c>
      <c r="K210" s="4">
        <v>0</v>
      </c>
      <c r="M210" s="4" t="s">
        <v>153</v>
      </c>
      <c r="N210" s="4">
        <f>SUMIF(Clean_sheet!C207:C706,client_formula_data!M210,Clean_sheet!K207:K706)</f>
        <v>30682</v>
      </c>
    </row>
    <row r="211" spans="6:14" x14ac:dyDescent="0.25">
      <c r="F211" s="5" t="s">
        <v>235</v>
      </c>
      <c r="G211" s="5">
        <f>_xlfn.XLOOKUP(F211,Product_Master!$A$2:$A$26,Product_Master!$C$2:$C$26)</f>
        <v>399</v>
      </c>
      <c r="H211" s="5" t="str">
        <f>_xlfn.XLOOKUP(F211,Product_Master!$A$2:$A$26,Product_Master!$D$2:$D$26)</f>
        <v>High</v>
      </c>
      <c r="J211" s="4" t="s">
        <v>229</v>
      </c>
      <c r="K211" s="4">
        <v>0</v>
      </c>
      <c r="M211" s="4" t="s">
        <v>229</v>
      </c>
      <c r="N211" s="4">
        <f>SUMIF(Clean_sheet!C208:C707,client_formula_data!M211,Clean_sheet!K208:K707)</f>
        <v>3340</v>
      </c>
    </row>
    <row r="212" spans="6:14" x14ac:dyDescent="0.25">
      <c r="F212" s="5" t="s">
        <v>94</v>
      </c>
      <c r="G212" s="5">
        <f>_xlfn.XLOOKUP(F212,Product_Master!$A$2:$A$26,Product_Master!$C$2:$C$26)</f>
        <v>999</v>
      </c>
      <c r="H212" s="5" t="str">
        <f>_xlfn.XLOOKUP(F212,Product_Master!$A$2:$A$26,Product_Master!$D$2:$D$26)</f>
        <v>Medium</v>
      </c>
      <c r="J212" s="4" t="s">
        <v>132</v>
      </c>
      <c r="K212" s="4">
        <v>0</v>
      </c>
      <c r="M212" s="4" t="s">
        <v>132</v>
      </c>
      <c r="N212" s="4">
        <f>SUMIF(Clean_sheet!C209:C708,client_formula_data!M212,Clean_sheet!K209:K708)</f>
        <v>9488</v>
      </c>
    </row>
    <row r="213" spans="6:14" x14ac:dyDescent="0.25">
      <c r="F213" s="5" t="s">
        <v>156</v>
      </c>
      <c r="G213" s="5">
        <f>_xlfn.XLOOKUP(F213,Product_Master!$A$2:$A$26,Product_Master!$C$2:$C$26)</f>
        <v>599</v>
      </c>
      <c r="H213" s="5" t="str">
        <f>_xlfn.XLOOKUP(F213,Product_Master!$A$2:$A$26,Product_Master!$D$2:$D$26)</f>
        <v>High</v>
      </c>
      <c r="J213" s="4" t="s">
        <v>80</v>
      </c>
      <c r="K213" s="4">
        <v>0</v>
      </c>
      <c r="M213" s="4" t="s">
        <v>80</v>
      </c>
      <c r="N213" s="4">
        <f>SUMIF(Clean_sheet!C210:C709,client_formula_data!M213,Clean_sheet!K210:K709)</f>
        <v>11586</v>
      </c>
    </row>
    <row r="214" spans="6:14" x14ac:dyDescent="0.25">
      <c r="F214" s="5" t="s">
        <v>99</v>
      </c>
      <c r="G214" s="5">
        <f>_xlfn.XLOOKUP(F214,Product_Master!$A$2:$A$26,Product_Master!$C$2:$C$26)</f>
        <v>1499</v>
      </c>
      <c r="H214" s="5" t="str">
        <f>_xlfn.XLOOKUP(F214,Product_Master!$A$2:$A$26,Product_Master!$D$2:$D$26)</f>
        <v>Low</v>
      </c>
      <c r="J214" s="4" t="s">
        <v>186</v>
      </c>
      <c r="K214" s="4">
        <v>0</v>
      </c>
      <c r="M214" s="4" t="s">
        <v>186</v>
      </c>
      <c r="N214" s="4">
        <f>SUMIF(Clean_sheet!C211:C710,client_formula_data!M214,Clean_sheet!K211:K710)</f>
        <v>3496</v>
      </c>
    </row>
    <row r="215" spans="6:14" x14ac:dyDescent="0.25">
      <c r="F215" s="5" t="s">
        <v>30</v>
      </c>
      <c r="G215" s="5">
        <f>_xlfn.XLOOKUP(F215,Product_Master!$A$2:$A$26,Product_Master!$C$2:$C$26)</f>
        <v>799</v>
      </c>
      <c r="H215" s="5" t="str">
        <f>_xlfn.XLOOKUP(F215,Product_Master!$A$2:$A$26,Product_Master!$D$2:$D$26)</f>
        <v>High</v>
      </c>
      <c r="J215" s="4" t="s">
        <v>218</v>
      </c>
      <c r="K215" s="4">
        <v>0</v>
      </c>
      <c r="M215" s="4" t="s">
        <v>218</v>
      </c>
      <c r="N215" s="4">
        <f>SUMIF(Clean_sheet!C212:C711,client_formula_data!M215,Clean_sheet!K212:K711)</f>
        <v>13732</v>
      </c>
    </row>
    <row r="216" spans="6:14" x14ac:dyDescent="0.25">
      <c r="F216" s="5" t="s">
        <v>140</v>
      </c>
      <c r="G216" s="5">
        <f>_xlfn.XLOOKUP(F216,Product_Master!$A$2:$A$26,Product_Master!$C$2:$C$26)</f>
        <v>499</v>
      </c>
      <c r="H216" s="5" t="str">
        <f>_xlfn.XLOOKUP(F216,Product_Master!$A$2:$A$26,Product_Master!$D$2:$D$26)</f>
        <v>Medium</v>
      </c>
      <c r="J216" s="4" t="s">
        <v>280</v>
      </c>
      <c r="K216" s="4">
        <v>0</v>
      </c>
      <c r="M216" s="4" t="s">
        <v>280</v>
      </c>
      <c r="N216" s="4">
        <f>SUMIF(Clean_sheet!C213:C712,client_formula_data!M216,Clean_sheet!K213:K712)</f>
        <v>8685</v>
      </c>
    </row>
    <row r="217" spans="6:14" x14ac:dyDescent="0.25">
      <c r="F217" s="5" t="s">
        <v>81</v>
      </c>
      <c r="G217" s="5">
        <f>_xlfn.XLOOKUP(F217,Product_Master!$A$2:$A$26,Product_Master!$C$2:$C$26)</f>
        <v>299</v>
      </c>
      <c r="H217" s="5" t="str">
        <f>_xlfn.XLOOKUP(F217,Product_Master!$A$2:$A$26,Product_Master!$D$2:$D$26)</f>
        <v>Low</v>
      </c>
      <c r="J217" s="4" t="s">
        <v>342</v>
      </c>
      <c r="K217" s="4">
        <v>0</v>
      </c>
      <c r="M217" s="4" t="s">
        <v>342</v>
      </c>
      <c r="N217" s="4">
        <f>SUMIF(Clean_sheet!C214:C713,client_formula_data!M217,Clean_sheet!K214:K713)</f>
        <v>4295</v>
      </c>
    </row>
    <row r="218" spans="6:14" x14ac:dyDescent="0.25">
      <c r="F218" s="5" t="s">
        <v>69</v>
      </c>
      <c r="G218" s="5">
        <f>_xlfn.XLOOKUP(F218,Product_Master!$A$2:$A$26,Product_Master!$C$2:$C$26)</f>
        <v>499</v>
      </c>
      <c r="H218" s="5" t="str">
        <f>_xlfn.XLOOKUP(F218,Product_Master!$A$2:$A$26,Product_Master!$D$2:$D$26)</f>
        <v>Medium</v>
      </c>
      <c r="J218" s="4" t="s">
        <v>80</v>
      </c>
      <c r="K218" s="4">
        <v>0</v>
      </c>
      <c r="M218" s="4" t="s">
        <v>80</v>
      </c>
      <c r="N218" s="4">
        <f>SUMIF(Clean_sheet!C215:C714,client_formula_data!M218,Clean_sheet!K215:K714)</f>
        <v>9189</v>
      </c>
    </row>
    <row r="219" spans="6:14" x14ac:dyDescent="0.25">
      <c r="F219" s="5" t="s">
        <v>52</v>
      </c>
      <c r="G219" s="5">
        <f>_xlfn.XLOOKUP(F219,Product_Master!$A$2:$A$26,Product_Master!$C$2:$C$26)</f>
        <v>299</v>
      </c>
      <c r="H219" s="5" t="str">
        <f>_xlfn.XLOOKUP(F219,Product_Master!$A$2:$A$26,Product_Master!$D$2:$D$26)</f>
        <v>Medium</v>
      </c>
      <c r="J219" s="4" t="s">
        <v>294</v>
      </c>
      <c r="K219" s="4">
        <v>0</v>
      </c>
      <c r="M219" s="4" t="s">
        <v>294</v>
      </c>
      <c r="N219" s="4">
        <f>SUMIF(Clean_sheet!C216:C715,client_formula_data!M219,Clean_sheet!K216:K715)</f>
        <v>6743</v>
      </c>
    </row>
    <row r="220" spans="6:14" x14ac:dyDescent="0.25">
      <c r="F220" s="5" t="s">
        <v>200</v>
      </c>
      <c r="G220" s="5">
        <f>_xlfn.XLOOKUP(F220,Product_Master!$A$2:$A$26,Product_Master!$C$2:$C$26)</f>
        <v>1299</v>
      </c>
      <c r="H220" s="5" t="str">
        <f>_xlfn.XLOOKUP(F220,Product_Master!$A$2:$A$26,Product_Master!$D$2:$D$26)</f>
        <v>High</v>
      </c>
      <c r="J220" s="4" t="s">
        <v>159</v>
      </c>
      <c r="K220" s="4">
        <v>0</v>
      </c>
      <c r="M220" s="4" t="s">
        <v>159</v>
      </c>
      <c r="N220" s="4">
        <f>SUMIF(Clean_sheet!C217:C716,client_formula_data!M220,Clean_sheet!K217:K716)</f>
        <v>9791</v>
      </c>
    </row>
    <row r="221" spans="6:14" x14ac:dyDescent="0.25">
      <c r="F221" s="5" t="s">
        <v>133</v>
      </c>
      <c r="G221" s="5">
        <f>_xlfn.XLOOKUP(F221,Product_Master!$A$2:$A$26,Product_Master!$C$2:$C$26)</f>
        <v>249</v>
      </c>
      <c r="H221" s="5" t="str">
        <f>_xlfn.XLOOKUP(F221,Product_Master!$A$2:$A$26,Product_Master!$D$2:$D$26)</f>
        <v>High</v>
      </c>
      <c r="J221" s="4" t="s">
        <v>159</v>
      </c>
      <c r="K221" s="4">
        <v>0</v>
      </c>
      <c r="M221" s="4" t="s">
        <v>159</v>
      </c>
      <c r="N221" s="4">
        <f>SUMIF(Clean_sheet!C218:C717,client_formula_data!M221,Clean_sheet!K218:K717)</f>
        <v>6595</v>
      </c>
    </row>
    <row r="222" spans="6:14" x14ac:dyDescent="0.25">
      <c r="F222" s="5" t="s">
        <v>355</v>
      </c>
      <c r="G222" s="5">
        <f>_xlfn.XLOOKUP(F222,Product_Master!$A$2:$A$26,Product_Master!$C$2:$C$26)</f>
        <v>2499</v>
      </c>
      <c r="H222" s="5" t="str">
        <f>_xlfn.XLOOKUP(F222,Product_Master!$A$2:$A$26,Product_Master!$D$2:$D$26)</f>
        <v>Medium</v>
      </c>
      <c r="J222" s="4" t="s">
        <v>302</v>
      </c>
      <c r="K222" s="4">
        <v>0</v>
      </c>
      <c r="M222" s="4" t="s">
        <v>302</v>
      </c>
      <c r="N222" s="4">
        <f>SUMIF(Clean_sheet!C219:C718,client_formula_data!M222,Clean_sheet!K219:K718)</f>
        <v>5784</v>
      </c>
    </row>
    <row r="223" spans="6:14" x14ac:dyDescent="0.25">
      <c r="F223" s="5" t="s">
        <v>140</v>
      </c>
      <c r="G223" s="5">
        <f>_xlfn.XLOOKUP(F223,Product_Master!$A$2:$A$26,Product_Master!$C$2:$C$26)</f>
        <v>499</v>
      </c>
      <c r="H223" s="5" t="str">
        <f>_xlfn.XLOOKUP(F223,Product_Master!$A$2:$A$26,Product_Master!$D$2:$D$26)</f>
        <v>Medium</v>
      </c>
      <c r="J223" s="4" t="s">
        <v>97</v>
      </c>
      <c r="K223" s="4">
        <v>0</v>
      </c>
      <c r="M223" s="4" t="s">
        <v>97</v>
      </c>
      <c r="N223" s="4">
        <f>SUMIF(Clean_sheet!C220:C719,client_formula_data!M223,Clean_sheet!K220:K719)</f>
        <v>39169</v>
      </c>
    </row>
    <row r="224" spans="6:14" x14ac:dyDescent="0.25">
      <c r="F224" s="5" t="s">
        <v>133</v>
      </c>
      <c r="G224" s="5">
        <f>_xlfn.XLOOKUP(F224,Product_Master!$A$2:$A$26,Product_Master!$C$2:$C$26)</f>
        <v>249</v>
      </c>
      <c r="H224" s="5" t="str">
        <f>_xlfn.XLOOKUP(F224,Product_Master!$A$2:$A$26,Product_Master!$D$2:$D$26)</f>
        <v>High</v>
      </c>
      <c r="J224" s="4" t="s">
        <v>274</v>
      </c>
      <c r="K224" s="4">
        <v>0</v>
      </c>
      <c r="M224" s="4" t="s">
        <v>274</v>
      </c>
      <c r="N224" s="4">
        <f>SUMIF(Clean_sheet!C221:C720,client_formula_data!M224,Clean_sheet!K221:K720)</f>
        <v>9185</v>
      </c>
    </row>
    <row r="225" spans="6:14" x14ac:dyDescent="0.25">
      <c r="F225" s="5" t="s">
        <v>52</v>
      </c>
      <c r="G225" s="5">
        <f>_xlfn.XLOOKUP(F225,Product_Master!$A$2:$A$26,Product_Master!$C$2:$C$26)</f>
        <v>299</v>
      </c>
      <c r="H225" s="5" t="str">
        <f>_xlfn.XLOOKUP(F225,Product_Master!$A$2:$A$26,Product_Master!$D$2:$D$26)</f>
        <v>Medium</v>
      </c>
      <c r="J225" s="4" t="s">
        <v>153</v>
      </c>
      <c r="K225" s="4">
        <v>0</v>
      </c>
      <c r="M225" s="4" t="s">
        <v>153</v>
      </c>
      <c r="N225" s="4">
        <f>SUMIF(Clean_sheet!C222:C721,client_formula_data!M225,Clean_sheet!K222:K721)</f>
        <v>25486</v>
      </c>
    </row>
    <row r="226" spans="6:14" x14ac:dyDescent="0.25">
      <c r="F226" s="5" t="s">
        <v>81</v>
      </c>
      <c r="G226" s="5">
        <f>_xlfn.XLOOKUP(F226,Product_Master!$A$2:$A$26,Product_Master!$C$2:$C$26)</f>
        <v>299</v>
      </c>
      <c r="H226" s="5" t="str">
        <f>_xlfn.XLOOKUP(F226,Product_Master!$A$2:$A$26,Product_Master!$D$2:$D$26)</f>
        <v>Low</v>
      </c>
      <c r="J226" s="4" t="s">
        <v>270</v>
      </c>
      <c r="K226" s="4">
        <v>0</v>
      </c>
      <c r="M226" s="4" t="s">
        <v>270</v>
      </c>
      <c r="N226" s="4">
        <f>SUMIF(Clean_sheet!C223:C722,client_formula_data!M226,Clean_sheet!K223:K722)</f>
        <v>11486</v>
      </c>
    </row>
    <row r="227" spans="6:14" x14ac:dyDescent="0.25">
      <c r="F227" s="5" t="s">
        <v>140</v>
      </c>
      <c r="G227" s="5">
        <f>_xlfn.XLOOKUP(F227,Product_Master!$A$2:$A$26,Product_Master!$C$2:$C$26)</f>
        <v>499</v>
      </c>
      <c r="H227" s="5" t="str">
        <f>_xlfn.XLOOKUP(F227,Product_Master!$A$2:$A$26,Product_Master!$D$2:$D$26)</f>
        <v>Medium</v>
      </c>
      <c r="J227" s="4" t="s">
        <v>237</v>
      </c>
      <c r="K227" s="4">
        <v>0</v>
      </c>
      <c r="M227" s="4" t="s">
        <v>237</v>
      </c>
      <c r="N227" s="4">
        <f>SUMIF(Clean_sheet!C224:C723,client_formula_data!M227,Clean_sheet!K224:K723)</f>
        <v>7393</v>
      </c>
    </row>
    <row r="228" spans="6:14" x14ac:dyDescent="0.25">
      <c r="F228" s="5" t="s">
        <v>171</v>
      </c>
      <c r="G228" s="5">
        <f>_xlfn.XLOOKUP(F228,Product_Master!$A$2:$A$26,Product_Master!$C$2:$C$26)</f>
        <v>299</v>
      </c>
      <c r="H228" s="5" t="str">
        <f>_xlfn.XLOOKUP(F228,Product_Master!$A$2:$A$26,Product_Master!$D$2:$D$26)</f>
        <v>High</v>
      </c>
      <c r="J228" s="4" t="s">
        <v>226</v>
      </c>
      <c r="K228" s="4">
        <v>0</v>
      </c>
      <c r="M228" s="4" t="s">
        <v>226</v>
      </c>
      <c r="N228" s="4">
        <f>SUMIF(Clean_sheet!C225:C724,client_formula_data!M228,Clean_sheet!K225:K724)</f>
        <v>3196</v>
      </c>
    </row>
    <row r="229" spans="6:14" x14ac:dyDescent="0.25">
      <c r="F229" s="5" t="s">
        <v>21</v>
      </c>
      <c r="G229" s="5">
        <f>_xlfn.XLOOKUP(F229,Product_Master!$A$2:$A$26,Product_Master!$C$2:$C$26)</f>
        <v>1499</v>
      </c>
      <c r="H229" s="5" t="str">
        <f>_xlfn.XLOOKUP(F229,Product_Master!$A$2:$A$26,Product_Master!$D$2:$D$26)</f>
        <v>Low</v>
      </c>
      <c r="J229" s="4" t="s">
        <v>145</v>
      </c>
      <c r="K229" s="4">
        <v>0</v>
      </c>
      <c r="M229" s="4" t="s">
        <v>145</v>
      </c>
      <c r="N229" s="4">
        <f>SUMIF(Clean_sheet!C226:C725,client_formula_data!M229,Clean_sheet!K226:K725)</f>
        <v>10092</v>
      </c>
    </row>
    <row r="230" spans="6:14" x14ac:dyDescent="0.25">
      <c r="F230" s="5" t="s">
        <v>177</v>
      </c>
      <c r="G230" s="5">
        <f>_xlfn.XLOOKUP(F230,Product_Master!$A$2:$A$26,Product_Master!$C$2:$C$26)</f>
        <v>299</v>
      </c>
      <c r="H230" s="5" t="str">
        <f>_xlfn.XLOOKUP(F230,Product_Master!$A$2:$A$26,Product_Master!$D$2:$D$26)</f>
        <v>Low</v>
      </c>
      <c r="J230" s="4" t="s">
        <v>237</v>
      </c>
      <c r="K230" s="4">
        <v>0</v>
      </c>
      <c r="M230" s="4" t="s">
        <v>237</v>
      </c>
      <c r="N230" s="4">
        <f>SUMIF(Clean_sheet!C227:C726,client_formula_data!M230,Clean_sheet!K227:K726)</f>
        <v>6894</v>
      </c>
    </row>
    <row r="231" spans="6:14" x14ac:dyDescent="0.25">
      <c r="F231" s="5" t="s">
        <v>140</v>
      </c>
      <c r="G231" s="5">
        <f>_xlfn.XLOOKUP(F231,Product_Master!$A$2:$A$26,Product_Master!$C$2:$C$26)</f>
        <v>499</v>
      </c>
      <c r="H231" s="5" t="str">
        <f>_xlfn.XLOOKUP(F231,Product_Master!$A$2:$A$26,Product_Master!$D$2:$D$26)</f>
        <v>Medium</v>
      </c>
      <c r="J231" s="4" t="s">
        <v>280</v>
      </c>
      <c r="K231" s="4">
        <v>0</v>
      </c>
      <c r="M231" s="4" t="s">
        <v>280</v>
      </c>
      <c r="N231" s="4">
        <f>SUMIF(Clean_sheet!C228:C727,client_formula_data!M231,Clean_sheet!K228:K727)</f>
        <v>7889</v>
      </c>
    </row>
    <row r="232" spans="6:14" x14ac:dyDescent="0.25">
      <c r="F232" s="5" t="s">
        <v>45</v>
      </c>
      <c r="G232" s="5">
        <f>_xlfn.XLOOKUP(F232,Product_Master!$A$2:$A$26,Product_Master!$C$2:$C$26)</f>
        <v>249</v>
      </c>
      <c r="H232" s="5" t="str">
        <f>_xlfn.XLOOKUP(F232,Product_Master!$A$2:$A$26,Product_Master!$D$2:$D$26)</f>
        <v>High</v>
      </c>
      <c r="J232" s="4" t="s">
        <v>414</v>
      </c>
      <c r="K232" s="4">
        <v>0</v>
      </c>
      <c r="M232" s="4" t="s">
        <v>414</v>
      </c>
      <c r="N232" s="4">
        <f>SUMIF(Clean_sheet!C229:C728,client_formula_data!M232,Clean_sheet!K229:K728)</f>
        <v>14587</v>
      </c>
    </row>
    <row r="233" spans="6:14" x14ac:dyDescent="0.25">
      <c r="F233" s="5" t="s">
        <v>52</v>
      </c>
      <c r="G233" s="5">
        <f>_xlfn.XLOOKUP(F233,Product_Master!$A$2:$A$26,Product_Master!$C$2:$C$26)</f>
        <v>299</v>
      </c>
      <c r="H233" s="5" t="str">
        <f>_xlfn.XLOOKUP(F233,Product_Master!$A$2:$A$26,Product_Master!$D$2:$D$26)</f>
        <v>Medium</v>
      </c>
      <c r="J233" s="4" t="s">
        <v>310</v>
      </c>
      <c r="K233" s="4">
        <v>0</v>
      </c>
      <c r="M233" s="4" t="s">
        <v>310</v>
      </c>
      <c r="N233" s="4">
        <f>SUMIF(Clean_sheet!C230:C729,client_formula_data!M233,Clean_sheet!K230:K729)</f>
        <v>7690</v>
      </c>
    </row>
    <row r="234" spans="6:14" x14ac:dyDescent="0.25">
      <c r="F234" s="5" t="s">
        <v>140</v>
      </c>
      <c r="G234" s="5">
        <f>_xlfn.XLOOKUP(F234,Product_Master!$A$2:$A$26,Product_Master!$C$2:$C$26)</f>
        <v>499</v>
      </c>
      <c r="H234" s="5" t="str">
        <f>_xlfn.XLOOKUP(F234,Product_Master!$A$2:$A$26,Product_Master!$D$2:$D$26)</f>
        <v>Medium</v>
      </c>
      <c r="J234" s="4" t="s">
        <v>313</v>
      </c>
      <c r="K234" s="4">
        <v>0</v>
      </c>
      <c r="M234" s="4" t="s">
        <v>313</v>
      </c>
      <c r="N234" s="4">
        <f>SUMIF(Clean_sheet!C231:C730,client_formula_data!M234,Clean_sheet!K231:K730)</f>
        <v>2594</v>
      </c>
    </row>
    <row r="235" spans="6:14" x14ac:dyDescent="0.25">
      <c r="F235" s="5" t="s">
        <v>108</v>
      </c>
      <c r="G235" s="5">
        <f>_xlfn.XLOOKUP(F235,Product_Master!$A$2:$A$26,Product_Master!$C$2:$C$26)</f>
        <v>499</v>
      </c>
      <c r="H235" s="5" t="str">
        <f>_xlfn.XLOOKUP(F235,Product_Master!$A$2:$A$26,Product_Master!$D$2:$D$26)</f>
        <v>Medium</v>
      </c>
      <c r="J235" s="4" t="s">
        <v>239</v>
      </c>
      <c r="K235" s="4">
        <v>0</v>
      </c>
      <c r="M235" s="4" t="s">
        <v>239</v>
      </c>
      <c r="N235" s="4">
        <f>SUMIF(Clean_sheet!C232:C731,client_formula_data!M235,Clean_sheet!K232:K731)</f>
        <v>20181</v>
      </c>
    </row>
    <row r="236" spans="6:14" x14ac:dyDescent="0.25">
      <c r="F236" s="5" t="s">
        <v>108</v>
      </c>
      <c r="G236" s="5">
        <f>_xlfn.XLOOKUP(F236,Product_Master!$A$2:$A$26,Product_Master!$C$2:$C$26)</f>
        <v>499</v>
      </c>
      <c r="H236" s="5" t="str">
        <f>_xlfn.XLOOKUP(F236,Product_Master!$A$2:$A$26,Product_Master!$D$2:$D$26)</f>
        <v>Medium</v>
      </c>
      <c r="J236" s="4" t="s">
        <v>310</v>
      </c>
      <c r="K236" s="4">
        <v>0</v>
      </c>
      <c r="M236" s="4" t="s">
        <v>310</v>
      </c>
      <c r="N236" s="4">
        <f>SUMIF(Clean_sheet!C233:C732,client_formula_data!M236,Clean_sheet!K233:K732)</f>
        <v>6694</v>
      </c>
    </row>
    <row r="237" spans="6:14" x14ac:dyDescent="0.25">
      <c r="F237" s="5" t="s">
        <v>200</v>
      </c>
      <c r="G237" s="5">
        <f>_xlfn.XLOOKUP(F237,Product_Master!$A$2:$A$26,Product_Master!$C$2:$C$26)</f>
        <v>1299</v>
      </c>
      <c r="H237" s="5" t="str">
        <f>_xlfn.XLOOKUP(F237,Product_Master!$A$2:$A$26,Product_Master!$D$2:$D$26)</f>
        <v>High</v>
      </c>
      <c r="J237" s="4" t="s">
        <v>116</v>
      </c>
      <c r="K237" s="4">
        <v>0</v>
      </c>
      <c r="M237" s="4" t="s">
        <v>116</v>
      </c>
      <c r="N237" s="4">
        <f>SUMIF(Clean_sheet!C234:C733,client_formula_data!M237,Clean_sheet!K234:K733)</f>
        <v>13040</v>
      </c>
    </row>
    <row r="238" spans="6:14" x14ac:dyDescent="0.25">
      <c r="F238" s="5" t="s">
        <v>45</v>
      </c>
      <c r="G238" s="5">
        <f>_xlfn.XLOOKUP(F238,Product_Master!$A$2:$A$26,Product_Master!$C$2:$C$26)</f>
        <v>249</v>
      </c>
      <c r="H238" s="5" t="str">
        <f>_xlfn.XLOOKUP(F238,Product_Master!$A$2:$A$26,Product_Master!$D$2:$D$26)</f>
        <v>High</v>
      </c>
      <c r="J238" s="4" t="s">
        <v>80</v>
      </c>
      <c r="K238" s="4">
        <v>0</v>
      </c>
      <c r="M238" s="4" t="s">
        <v>80</v>
      </c>
      <c r="N238" s="4">
        <f>SUMIF(Clean_sheet!C235:C734,client_formula_data!M238,Clean_sheet!K235:K734)</f>
        <v>5194</v>
      </c>
    </row>
    <row r="239" spans="6:14" x14ac:dyDescent="0.25">
      <c r="F239" s="5" t="s">
        <v>133</v>
      </c>
      <c r="G239" s="5">
        <f>_xlfn.XLOOKUP(F239,Product_Master!$A$2:$A$26,Product_Master!$C$2:$C$26)</f>
        <v>249</v>
      </c>
      <c r="H239" s="5" t="str">
        <f>_xlfn.XLOOKUP(F239,Product_Master!$A$2:$A$26,Product_Master!$D$2:$D$26)</f>
        <v>High</v>
      </c>
      <c r="J239" s="4" t="s">
        <v>377</v>
      </c>
      <c r="K239" s="4">
        <v>0</v>
      </c>
      <c r="M239" s="4" t="s">
        <v>377</v>
      </c>
      <c r="N239" s="4">
        <f>SUMIF(Clean_sheet!C236:C735,client_formula_data!M239,Clean_sheet!K236:K735)</f>
        <v>3593</v>
      </c>
    </row>
    <row r="240" spans="6:14" x14ac:dyDescent="0.25">
      <c r="F240" s="5" t="s">
        <v>108</v>
      </c>
      <c r="G240" s="5">
        <f>_xlfn.XLOOKUP(F240,Product_Master!$A$2:$A$26,Product_Master!$C$2:$C$26)</f>
        <v>499</v>
      </c>
      <c r="H240" s="5" t="str">
        <f>_xlfn.XLOOKUP(F240,Product_Master!$A$2:$A$26,Product_Master!$D$2:$D$26)</f>
        <v>Medium</v>
      </c>
      <c r="J240" s="4" t="s">
        <v>116</v>
      </c>
      <c r="K240" s="4">
        <v>0</v>
      </c>
      <c r="M240" s="4" t="s">
        <v>116</v>
      </c>
      <c r="N240" s="4">
        <f>SUMIF(Clean_sheet!C237:C736,client_formula_data!M240,Clean_sheet!K237:K736)</f>
        <v>5545</v>
      </c>
    </row>
    <row r="241" spans="6:14" x14ac:dyDescent="0.25">
      <c r="F241" s="5" t="s">
        <v>45</v>
      </c>
      <c r="G241" s="5">
        <f>_xlfn.XLOOKUP(F241,Product_Master!$A$2:$A$26,Product_Master!$C$2:$C$26)</f>
        <v>249</v>
      </c>
      <c r="H241" s="5" t="str">
        <f>_xlfn.XLOOKUP(F241,Product_Master!$A$2:$A$26,Product_Master!$D$2:$D$26)</f>
        <v>High</v>
      </c>
      <c r="J241" s="4" t="s">
        <v>56</v>
      </c>
      <c r="K241" s="4">
        <v>0</v>
      </c>
      <c r="M241" s="4" t="s">
        <v>56</v>
      </c>
      <c r="N241" s="4">
        <f>SUMIF(Clean_sheet!C238:C737,client_formula_data!M241,Clean_sheet!K238:K737)</f>
        <v>12584</v>
      </c>
    </row>
    <row r="242" spans="6:14" x14ac:dyDescent="0.25">
      <c r="F242" s="5" t="s">
        <v>120</v>
      </c>
      <c r="G242" s="5">
        <f>_xlfn.XLOOKUP(F242,Product_Master!$A$2:$A$26,Product_Master!$C$2:$C$26)</f>
        <v>299</v>
      </c>
      <c r="H242" s="5" t="str">
        <f>_xlfn.XLOOKUP(F242,Product_Master!$A$2:$A$26,Product_Master!$D$2:$D$26)</f>
        <v>Medium</v>
      </c>
      <c r="J242" s="4" t="s">
        <v>221</v>
      </c>
      <c r="K242" s="4">
        <v>0</v>
      </c>
      <c r="M242" s="4" t="s">
        <v>221</v>
      </c>
      <c r="N242" s="4">
        <f>SUMIF(Clean_sheet!C239:C738,client_formula_data!M242,Clean_sheet!K239:K738)</f>
        <v>10495</v>
      </c>
    </row>
    <row r="243" spans="6:14" x14ac:dyDescent="0.25">
      <c r="F243" s="5" t="s">
        <v>140</v>
      </c>
      <c r="G243" s="5">
        <f>_xlfn.XLOOKUP(F243,Product_Master!$A$2:$A$26,Product_Master!$C$2:$C$26)</f>
        <v>499</v>
      </c>
      <c r="H243" s="5" t="str">
        <f>_xlfn.XLOOKUP(F243,Product_Master!$A$2:$A$26,Product_Master!$D$2:$D$26)</f>
        <v>Medium</v>
      </c>
      <c r="J243" s="4" t="s">
        <v>147</v>
      </c>
      <c r="K243" s="4">
        <v>0</v>
      </c>
      <c r="M243" s="4" t="s">
        <v>147</v>
      </c>
      <c r="N243" s="4">
        <f>SUMIF(Clean_sheet!C240:C739,client_formula_data!M243,Clean_sheet!K240:K739)</f>
        <v>14291</v>
      </c>
    </row>
    <row r="244" spans="6:14" x14ac:dyDescent="0.25">
      <c r="F244" s="5" t="s">
        <v>37</v>
      </c>
      <c r="G244" s="5">
        <f>_xlfn.XLOOKUP(F244,Product_Master!$A$2:$A$26,Product_Master!$C$2:$C$26)</f>
        <v>1999</v>
      </c>
      <c r="H244" s="5" t="str">
        <f>_xlfn.XLOOKUP(F244,Product_Master!$A$2:$A$26,Product_Master!$D$2:$D$26)</f>
        <v>High</v>
      </c>
      <c r="J244" s="4" t="s">
        <v>299</v>
      </c>
      <c r="K244" s="4">
        <v>0</v>
      </c>
      <c r="M244" s="4" t="s">
        <v>299</v>
      </c>
      <c r="N244" s="4">
        <f>SUMIF(Clean_sheet!C241:C740,client_formula_data!M244,Clean_sheet!K241:K740)</f>
        <v>3941</v>
      </c>
    </row>
    <row r="245" spans="6:14" x14ac:dyDescent="0.25">
      <c r="F245" s="5" t="s">
        <v>64</v>
      </c>
      <c r="G245" s="5">
        <f>_xlfn.XLOOKUP(F245,Product_Master!$A$2:$A$26,Product_Master!$C$2:$C$26)</f>
        <v>599</v>
      </c>
      <c r="H245" s="5" t="str">
        <f>_xlfn.XLOOKUP(F245,Product_Master!$A$2:$A$26,Product_Master!$D$2:$D$26)</f>
        <v>Low</v>
      </c>
      <c r="J245" s="4" t="s">
        <v>132</v>
      </c>
      <c r="K245" s="4">
        <v>0</v>
      </c>
      <c r="M245" s="4" t="s">
        <v>132</v>
      </c>
      <c r="N245" s="4">
        <f>SUMIF(Clean_sheet!C242:C741,client_formula_data!M245,Clean_sheet!K242:K741)</f>
        <v>1993</v>
      </c>
    </row>
    <row r="246" spans="6:14" x14ac:dyDescent="0.25">
      <c r="F246" s="5" t="s">
        <v>99</v>
      </c>
      <c r="G246" s="5">
        <f>_xlfn.XLOOKUP(F246,Product_Master!$A$2:$A$26,Product_Master!$C$2:$C$26)</f>
        <v>1499</v>
      </c>
      <c r="H246" s="5" t="str">
        <f>_xlfn.XLOOKUP(F246,Product_Master!$A$2:$A$26,Product_Master!$D$2:$D$26)</f>
        <v>Low</v>
      </c>
      <c r="J246" s="4" t="s">
        <v>97</v>
      </c>
      <c r="K246" s="4">
        <v>0</v>
      </c>
      <c r="M246" s="4" t="s">
        <v>97</v>
      </c>
      <c r="N246" s="4">
        <f>SUMIF(Clean_sheet!C243:C742,client_formula_data!M246,Clean_sheet!K243:K742)</f>
        <v>26674</v>
      </c>
    </row>
    <row r="247" spans="6:14" x14ac:dyDescent="0.25">
      <c r="F247" s="5" t="s">
        <v>171</v>
      </c>
      <c r="G247" s="5">
        <f>_xlfn.XLOOKUP(F247,Product_Master!$A$2:$A$26,Product_Master!$C$2:$C$26)</f>
        <v>299</v>
      </c>
      <c r="H247" s="5" t="str">
        <f>_xlfn.XLOOKUP(F247,Product_Master!$A$2:$A$26,Product_Master!$D$2:$D$26)</f>
        <v>High</v>
      </c>
      <c r="J247" s="4" t="s">
        <v>250</v>
      </c>
      <c r="K247" s="4">
        <v>0</v>
      </c>
      <c r="M247" s="4" t="s">
        <v>250</v>
      </c>
      <c r="N247" s="4">
        <f>SUMIF(Clean_sheet!C244:C743,client_formula_data!M247,Clean_sheet!K244:K743)</f>
        <v>20331</v>
      </c>
    </row>
    <row r="248" spans="6:14" x14ac:dyDescent="0.25">
      <c r="F248" s="5" t="s">
        <v>45</v>
      </c>
      <c r="G248" s="5">
        <f>_xlfn.XLOOKUP(F248,Product_Master!$A$2:$A$26,Product_Master!$C$2:$C$26)</f>
        <v>249</v>
      </c>
      <c r="H248" s="5" t="str">
        <f>_xlfn.XLOOKUP(F248,Product_Master!$A$2:$A$26,Product_Master!$D$2:$D$26)</f>
        <v>High</v>
      </c>
      <c r="J248" s="4" t="s">
        <v>123</v>
      </c>
      <c r="K248" s="4">
        <v>0</v>
      </c>
      <c r="M248" s="4" t="s">
        <v>123</v>
      </c>
      <c r="N248" s="4">
        <f>SUMIF(Clean_sheet!C245:C744,client_formula_data!M248,Clean_sheet!K245:K744)</f>
        <v>5494</v>
      </c>
    </row>
    <row r="249" spans="6:14" x14ac:dyDescent="0.25">
      <c r="F249" s="5" t="s">
        <v>102</v>
      </c>
      <c r="G249" s="5">
        <f>_xlfn.XLOOKUP(F249,Product_Master!$A$2:$A$26,Product_Master!$C$2:$C$26)</f>
        <v>499</v>
      </c>
      <c r="H249" s="5" t="str">
        <f>_xlfn.XLOOKUP(F249,Product_Master!$A$2:$A$26,Product_Master!$D$2:$D$26)</f>
        <v>Medium</v>
      </c>
      <c r="J249" s="4" t="s">
        <v>432</v>
      </c>
      <c r="K249" s="4">
        <v>0</v>
      </c>
      <c r="M249" s="4" t="s">
        <v>432</v>
      </c>
      <c r="N249" s="4">
        <f>SUMIF(Clean_sheet!C246:C745,client_formula_data!M249,Clean_sheet!K246:K745)</f>
        <v>4392</v>
      </c>
    </row>
    <row r="250" spans="6:14" x14ac:dyDescent="0.25">
      <c r="F250" s="5" t="s">
        <v>37</v>
      </c>
      <c r="G250" s="5">
        <f>_xlfn.XLOOKUP(F250,Product_Master!$A$2:$A$26,Product_Master!$C$2:$C$26)</f>
        <v>1999</v>
      </c>
      <c r="H250" s="5" t="str">
        <f>_xlfn.XLOOKUP(F250,Product_Master!$A$2:$A$26,Product_Master!$D$2:$D$26)</f>
        <v>High</v>
      </c>
      <c r="J250" s="4" t="s">
        <v>202</v>
      </c>
      <c r="K250" s="4">
        <v>0</v>
      </c>
      <c r="M250" s="4" t="s">
        <v>202</v>
      </c>
      <c r="N250" s="4">
        <f>SUMIF(Clean_sheet!C247:C746,client_formula_data!M250,Clean_sheet!K247:K746)</f>
        <v>399</v>
      </c>
    </row>
    <row r="251" spans="6:14" x14ac:dyDescent="0.25">
      <c r="F251" s="5" t="s">
        <v>69</v>
      </c>
      <c r="G251" s="5">
        <f>_xlfn.XLOOKUP(F251,Product_Master!$A$2:$A$26,Product_Master!$C$2:$C$26)</f>
        <v>499</v>
      </c>
      <c r="H251" s="5" t="str">
        <f>_xlfn.XLOOKUP(F251,Product_Master!$A$2:$A$26,Product_Master!$D$2:$D$26)</f>
        <v>Medium</v>
      </c>
      <c r="J251" s="4" t="s">
        <v>110</v>
      </c>
      <c r="K251" s="4">
        <v>0</v>
      </c>
      <c r="M251" s="4" t="s">
        <v>110</v>
      </c>
      <c r="N251" s="4">
        <f>SUMIF(Clean_sheet!C248:C747,client_formula_data!M251,Clean_sheet!K248:K747)</f>
        <v>24785</v>
      </c>
    </row>
    <row r="252" spans="6:14" x14ac:dyDescent="0.25">
      <c r="F252" s="5" t="s">
        <v>64</v>
      </c>
      <c r="G252" s="5">
        <f>_xlfn.XLOOKUP(F252,Product_Master!$A$2:$A$26,Product_Master!$C$2:$C$26)</f>
        <v>599</v>
      </c>
      <c r="H252" s="5" t="str">
        <f>_xlfn.XLOOKUP(F252,Product_Master!$A$2:$A$26,Product_Master!$D$2:$D$26)</f>
        <v>Low</v>
      </c>
      <c r="J252" s="4" t="s">
        <v>145</v>
      </c>
      <c r="K252" s="4">
        <v>0</v>
      </c>
      <c r="M252" s="4" t="s">
        <v>145</v>
      </c>
      <c r="N252" s="4">
        <f>SUMIF(Clean_sheet!C249:C748,client_formula_data!M252,Clean_sheet!K249:K748)</f>
        <v>2096</v>
      </c>
    </row>
    <row r="253" spans="6:14" x14ac:dyDescent="0.25">
      <c r="F253" s="5" t="s">
        <v>73</v>
      </c>
      <c r="G253" s="5">
        <f>_xlfn.XLOOKUP(F253,Product_Master!$A$2:$A$26,Product_Master!$C$2:$C$26)</f>
        <v>1499</v>
      </c>
      <c r="H253" s="5" t="str">
        <f>_xlfn.XLOOKUP(F253,Product_Master!$A$2:$A$26,Product_Master!$D$2:$D$26)</f>
        <v>Medium</v>
      </c>
      <c r="J253" s="4" t="s">
        <v>186</v>
      </c>
      <c r="K253" s="4">
        <v>0</v>
      </c>
      <c r="M253" s="4" t="s">
        <v>186</v>
      </c>
      <c r="N253" s="4">
        <f>SUMIF(Clean_sheet!C250:C749,client_formula_data!M253,Clean_sheet!K250:K749)</f>
        <v>2497</v>
      </c>
    </row>
    <row r="254" spans="6:14" x14ac:dyDescent="0.25">
      <c r="F254" s="5" t="s">
        <v>99</v>
      </c>
      <c r="G254" s="5">
        <f>_xlfn.XLOOKUP(F254,Product_Master!$A$2:$A$26,Product_Master!$C$2:$C$26)</f>
        <v>1499</v>
      </c>
      <c r="H254" s="5" t="str">
        <f>_xlfn.XLOOKUP(F254,Product_Master!$A$2:$A$26,Product_Master!$D$2:$D$26)</f>
        <v>Low</v>
      </c>
      <c r="J254" s="4" t="s">
        <v>218</v>
      </c>
      <c r="K254" s="4">
        <v>0</v>
      </c>
      <c r="M254" s="4" t="s">
        <v>218</v>
      </c>
      <c r="N254" s="4">
        <f>SUMIF(Clean_sheet!C251:C750,client_formula_data!M254,Clean_sheet!K251:K750)</f>
        <v>12237</v>
      </c>
    </row>
    <row r="255" spans="6:14" x14ac:dyDescent="0.25">
      <c r="F255" s="5" t="s">
        <v>99</v>
      </c>
      <c r="G255" s="5">
        <f>_xlfn.XLOOKUP(F255,Product_Master!$A$2:$A$26,Product_Master!$C$2:$C$26)</f>
        <v>1499</v>
      </c>
      <c r="H255" s="5" t="str">
        <f>_xlfn.XLOOKUP(F255,Product_Master!$A$2:$A$26,Product_Master!$D$2:$D$26)</f>
        <v>Low</v>
      </c>
      <c r="J255" s="4" t="s">
        <v>360</v>
      </c>
      <c r="K255" s="4">
        <v>0</v>
      </c>
      <c r="M255" s="4" t="s">
        <v>360</v>
      </c>
      <c r="N255" s="4">
        <f>SUMIF(Clean_sheet!C252:C751,client_formula_data!M255,Clean_sheet!K252:K751)</f>
        <v>9377</v>
      </c>
    </row>
    <row r="256" spans="6:14" x14ac:dyDescent="0.25">
      <c r="F256" s="5" t="s">
        <v>52</v>
      </c>
      <c r="G256" s="5">
        <f>_xlfn.XLOOKUP(F256,Product_Master!$A$2:$A$26,Product_Master!$C$2:$C$26)</f>
        <v>299</v>
      </c>
      <c r="H256" s="5" t="str">
        <f>_xlfn.XLOOKUP(F256,Product_Master!$A$2:$A$26,Product_Master!$D$2:$D$26)</f>
        <v>Medium</v>
      </c>
      <c r="J256" s="4" t="s">
        <v>209</v>
      </c>
      <c r="K256" s="4">
        <v>0</v>
      </c>
      <c r="M256" s="4" t="s">
        <v>209</v>
      </c>
      <c r="N256" s="4">
        <f>SUMIF(Clean_sheet!C253:C752,client_formula_data!M256,Clean_sheet!K253:K752)</f>
        <v>5040</v>
      </c>
    </row>
    <row r="257" spans="6:14" x14ac:dyDescent="0.25">
      <c r="F257" s="5" t="s">
        <v>45</v>
      </c>
      <c r="G257" s="5">
        <f>_xlfn.XLOOKUP(F257,Product_Master!$A$2:$A$26,Product_Master!$C$2:$C$26)</f>
        <v>249</v>
      </c>
      <c r="H257" s="5" t="str">
        <f>_xlfn.XLOOKUP(F257,Product_Master!$A$2:$A$26,Product_Master!$D$2:$D$26)</f>
        <v>High</v>
      </c>
      <c r="J257" s="4" t="s">
        <v>229</v>
      </c>
      <c r="K257" s="4">
        <v>0</v>
      </c>
      <c r="M257" s="4" t="s">
        <v>229</v>
      </c>
      <c r="N257" s="4">
        <f>SUMIF(Clean_sheet!C254:C753,client_formula_data!M257,Clean_sheet!K254:K753)</f>
        <v>2345</v>
      </c>
    </row>
    <row r="258" spans="6:14" x14ac:dyDescent="0.25">
      <c r="F258" s="5" t="s">
        <v>200</v>
      </c>
      <c r="G258" s="5">
        <f>_xlfn.XLOOKUP(F258,Product_Master!$A$2:$A$26,Product_Master!$C$2:$C$26)</f>
        <v>1299</v>
      </c>
      <c r="H258" s="5" t="str">
        <f>_xlfn.XLOOKUP(F258,Product_Master!$A$2:$A$26,Product_Master!$D$2:$D$26)</f>
        <v>High</v>
      </c>
      <c r="J258" s="4" t="s">
        <v>288</v>
      </c>
      <c r="K258" s="4">
        <v>0</v>
      </c>
      <c r="M258" s="4" t="s">
        <v>288</v>
      </c>
      <c r="N258" s="4">
        <f>SUMIF(Clean_sheet!C255:C754,client_formula_data!M258,Clean_sheet!K255:K754)</f>
        <v>12391</v>
      </c>
    </row>
    <row r="259" spans="6:14" x14ac:dyDescent="0.25">
      <c r="F259" s="5" t="s">
        <v>99</v>
      </c>
      <c r="G259" s="5">
        <f>_xlfn.XLOOKUP(F259,Product_Master!$A$2:$A$26,Product_Master!$C$2:$C$26)</f>
        <v>1499</v>
      </c>
      <c r="H259" s="5" t="str">
        <f>_xlfn.XLOOKUP(F259,Product_Master!$A$2:$A$26,Product_Master!$D$2:$D$26)</f>
        <v>Low</v>
      </c>
      <c r="J259" s="4" t="s">
        <v>142</v>
      </c>
      <c r="K259" s="4">
        <v>0</v>
      </c>
      <c r="M259" s="4" t="s">
        <v>142</v>
      </c>
      <c r="N259" s="4">
        <f>SUMIF(Clean_sheet!C256:C755,client_formula_data!M259,Clean_sheet!K256:K755)</f>
        <v>7893</v>
      </c>
    </row>
    <row r="260" spans="6:14" x14ac:dyDescent="0.25">
      <c r="F260" s="5" t="s">
        <v>99</v>
      </c>
      <c r="G260" s="5">
        <f>_xlfn.XLOOKUP(F260,Product_Master!$A$2:$A$26,Product_Master!$C$2:$C$26)</f>
        <v>1499</v>
      </c>
      <c r="H260" s="5" t="str">
        <f>_xlfn.XLOOKUP(F260,Product_Master!$A$2:$A$26,Product_Master!$D$2:$D$26)</f>
        <v>Low</v>
      </c>
      <c r="J260" s="4" t="s">
        <v>229</v>
      </c>
      <c r="K260" s="4">
        <v>0</v>
      </c>
      <c r="M260" s="4" t="s">
        <v>229</v>
      </c>
      <c r="N260" s="4">
        <f>SUMIF(Clean_sheet!C257:C756,client_formula_data!M260,Clean_sheet!K257:K756)</f>
        <v>2096</v>
      </c>
    </row>
    <row r="261" spans="6:14" x14ac:dyDescent="0.25">
      <c r="F261" s="5" t="s">
        <v>151</v>
      </c>
      <c r="G261" s="5">
        <f>_xlfn.XLOOKUP(F261,Product_Master!$A$2:$A$26,Product_Master!$C$2:$C$26)</f>
        <v>1299</v>
      </c>
      <c r="H261" s="5" t="str">
        <f>_xlfn.XLOOKUP(F261,Product_Master!$A$2:$A$26,Product_Master!$D$2:$D$26)</f>
        <v>Medium</v>
      </c>
      <c r="J261" s="4" t="s">
        <v>59</v>
      </c>
      <c r="K261" s="4">
        <v>0</v>
      </c>
      <c r="M261" s="4" t="s">
        <v>59</v>
      </c>
      <c r="N261" s="4">
        <f>SUMIF(Clean_sheet!C258:C757,client_formula_data!M261,Clean_sheet!K258:K757)</f>
        <v>17985</v>
      </c>
    </row>
    <row r="262" spans="6:14" x14ac:dyDescent="0.25">
      <c r="F262" s="5" t="s">
        <v>133</v>
      </c>
      <c r="G262" s="5">
        <f>_xlfn.XLOOKUP(F262,Product_Master!$A$2:$A$26,Product_Master!$C$2:$C$26)</f>
        <v>249</v>
      </c>
      <c r="H262" s="5" t="str">
        <f>_xlfn.XLOOKUP(F262,Product_Master!$A$2:$A$26,Product_Master!$D$2:$D$26)</f>
        <v>High</v>
      </c>
      <c r="J262" s="4" t="s">
        <v>218</v>
      </c>
      <c r="K262" s="4">
        <v>0</v>
      </c>
      <c r="M262" s="4" t="s">
        <v>218</v>
      </c>
      <c r="N262" s="4">
        <f>SUMIF(Clean_sheet!C259:C758,client_formula_data!M262,Clean_sheet!K259:K758)</f>
        <v>11490</v>
      </c>
    </row>
    <row r="263" spans="6:14" x14ac:dyDescent="0.25">
      <c r="F263" s="5" t="s">
        <v>37</v>
      </c>
      <c r="G263" s="5">
        <f>_xlfn.XLOOKUP(F263,Product_Master!$A$2:$A$26,Product_Master!$C$2:$C$26)</f>
        <v>1999</v>
      </c>
      <c r="H263" s="5" t="str">
        <f>_xlfn.XLOOKUP(F263,Product_Master!$A$2:$A$26,Product_Master!$D$2:$D$26)</f>
        <v>High</v>
      </c>
      <c r="J263" s="4" t="s">
        <v>310</v>
      </c>
      <c r="K263" s="4">
        <v>0</v>
      </c>
      <c r="M263" s="4" t="s">
        <v>310</v>
      </c>
      <c r="N263" s="4">
        <f>SUMIF(Clean_sheet!C260:C759,client_formula_data!M263,Clean_sheet!K260:K759)</f>
        <v>6395</v>
      </c>
    </row>
    <row r="264" spans="6:14" x14ac:dyDescent="0.25">
      <c r="F264" s="5" t="s">
        <v>133</v>
      </c>
      <c r="G264" s="5">
        <f>_xlfn.XLOOKUP(F264,Product_Master!$A$2:$A$26,Product_Master!$C$2:$C$26)</f>
        <v>249</v>
      </c>
      <c r="H264" s="5" t="str">
        <f>_xlfn.XLOOKUP(F264,Product_Master!$A$2:$A$26,Product_Master!$D$2:$D$26)</f>
        <v>High</v>
      </c>
      <c r="J264" s="4" t="s">
        <v>91</v>
      </c>
      <c r="K264" s="4">
        <v>0</v>
      </c>
      <c r="M264" s="4" t="s">
        <v>91</v>
      </c>
      <c r="N264" s="4">
        <f>SUMIF(Clean_sheet!C261:C760,client_formula_data!M264,Clean_sheet!K261:K760)</f>
        <v>18387</v>
      </c>
    </row>
    <row r="265" spans="6:14" x14ac:dyDescent="0.25">
      <c r="F265" s="5" t="s">
        <v>77</v>
      </c>
      <c r="G265" s="5">
        <f>_xlfn.XLOOKUP(F265,Product_Master!$A$2:$A$26,Product_Master!$C$2:$C$26)</f>
        <v>999</v>
      </c>
      <c r="H265" s="5" t="str">
        <f>_xlfn.XLOOKUP(F265,Product_Master!$A$2:$A$26,Product_Master!$D$2:$D$26)</f>
        <v>High</v>
      </c>
      <c r="J265" s="4" t="s">
        <v>213</v>
      </c>
      <c r="K265" s="4">
        <v>0</v>
      </c>
      <c r="M265" s="4" t="s">
        <v>213</v>
      </c>
      <c r="N265" s="4">
        <f>SUMIF(Clean_sheet!C262:C761,client_formula_data!M265,Clean_sheet!K262:K761)</f>
        <v>5389</v>
      </c>
    </row>
    <row r="266" spans="6:14" x14ac:dyDescent="0.25">
      <c r="F266" s="5" t="s">
        <v>45</v>
      </c>
      <c r="G266" s="5">
        <f>_xlfn.XLOOKUP(F266,Product_Master!$A$2:$A$26,Product_Master!$C$2:$C$26)</f>
        <v>249</v>
      </c>
      <c r="H266" s="5" t="str">
        <f>_xlfn.XLOOKUP(F266,Product_Master!$A$2:$A$26,Product_Master!$D$2:$D$26)</f>
        <v>High</v>
      </c>
      <c r="J266" s="4" t="s">
        <v>388</v>
      </c>
      <c r="K266" s="4">
        <v>0</v>
      </c>
      <c r="M266" s="4" t="s">
        <v>388</v>
      </c>
      <c r="N266" s="4">
        <f>SUMIF(Clean_sheet!C263:C762,client_formula_data!M266,Clean_sheet!K263:K762)</f>
        <v>25485</v>
      </c>
    </row>
    <row r="267" spans="6:14" x14ac:dyDescent="0.25">
      <c r="F267" s="5" t="s">
        <v>37</v>
      </c>
      <c r="G267" s="5">
        <f>_xlfn.XLOOKUP(F267,Product_Master!$A$2:$A$26,Product_Master!$C$2:$C$26)</f>
        <v>1999</v>
      </c>
      <c r="H267" s="5" t="str">
        <f>_xlfn.XLOOKUP(F267,Product_Master!$A$2:$A$26,Product_Master!$D$2:$D$26)</f>
        <v>High</v>
      </c>
      <c r="J267" s="4" t="s">
        <v>153</v>
      </c>
      <c r="K267" s="4">
        <v>0</v>
      </c>
      <c r="M267" s="4" t="s">
        <v>153</v>
      </c>
      <c r="N267" s="4">
        <f>SUMIF(Clean_sheet!C264:C763,client_formula_data!M267,Clean_sheet!K264:K763)</f>
        <v>20488</v>
      </c>
    </row>
    <row r="268" spans="6:14" x14ac:dyDescent="0.25">
      <c r="F268" s="5" t="s">
        <v>81</v>
      </c>
      <c r="G268" s="5">
        <f>_xlfn.XLOOKUP(F268,Product_Master!$A$2:$A$26,Product_Master!$C$2:$C$26)</f>
        <v>299</v>
      </c>
      <c r="H268" s="5" t="str">
        <f>_xlfn.XLOOKUP(F268,Product_Master!$A$2:$A$26,Product_Master!$D$2:$D$26)</f>
        <v>Low</v>
      </c>
      <c r="J268" s="4" t="s">
        <v>452</v>
      </c>
      <c r="K268" s="4">
        <v>0</v>
      </c>
      <c r="M268" s="4" t="s">
        <v>452</v>
      </c>
      <c r="N268" s="4">
        <f>SUMIF(Clean_sheet!C265:C764,client_formula_data!M268,Clean_sheet!K265:K764)</f>
        <v>15887</v>
      </c>
    </row>
    <row r="269" spans="6:14" x14ac:dyDescent="0.25">
      <c r="F269" s="5" t="s">
        <v>52</v>
      </c>
      <c r="G269" s="5">
        <f>_xlfn.XLOOKUP(F269,Product_Master!$A$2:$A$26,Product_Master!$C$2:$C$26)</f>
        <v>299</v>
      </c>
      <c r="H269" s="5" t="str">
        <f>_xlfn.XLOOKUP(F269,Product_Master!$A$2:$A$26,Product_Master!$D$2:$D$26)</f>
        <v>Medium</v>
      </c>
      <c r="J269" s="4" t="s">
        <v>261</v>
      </c>
      <c r="K269" s="4">
        <v>0</v>
      </c>
      <c r="M269" s="4" t="s">
        <v>261</v>
      </c>
      <c r="N269" s="4">
        <f>SUMIF(Clean_sheet!C266:C765,client_formula_data!M269,Clean_sheet!K266:K765)</f>
        <v>3296</v>
      </c>
    </row>
    <row r="270" spans="6:14" x14ac:dyDescent="0.25">
      <c r="F270" s="5" t="s">
        <v>77</v>
      </c>
      <c r="G270" s="5">
        <f>_xlfn.XLOOKUP(F270,Product_Master!$A$2:$A$26,Product_Master!$C$2:$C$26)</f>
        <v>999</v>
      </c>
      <c r="H270" s="5" t="str">
        <f>_xlfn.XLOOKUP(F270,Product_Master!$A$2:$A$26,Product_Master!$D$2:$D$26)</f>
        <v>High</v>
      </c>
      <c r="J270" s="4" t="s">
        <v>250</v>
      </c>
      <c r="K270" s="4">
        <v>0</v>
      </c>
      <c r="M270" s="4" t="s">
        <v>250</v>
      </c>
      <c r="N270" s="4">
        <f>SUMIF(Clean_sheet!C267:C766,client_formula_data!M270,Clean_sheet!K267:K766)</f>
        <v>19032</v>
      </c>
    </row>
    <row r="271" spans="6:14" x14ac:dyDescent="0.25">
      <c r="F271" s="5" t="s">
        <v>69</v>
      </c>
      <c r="G271" s="5">
        <f>_xlfn.XLOOKUP(F271,Product_Master!$A$2:$A$26,Product_Master!$C$2:$C$26)</f>
        <v>499</v>
      </c>
      <c r="H271" s="5" t="str">
        <f>_xlfn.XLOOKUP(F271,Product_Master!$A$2:$A$26,Product_Master!$D$2:$D$26)</f>
        <v>Medium</v>
      </c>
      <c r="J271" s="4" t="s">
        <v>164</v>
      </c>
      <c r="K271" s="4">
        <v>0</v>
      </c>
      <c r="M271" s="4" t="s">
        <v>164</v>
      </c>
      <c r="N271" s="4">
        <f>SUMIF(Clean_sheet!C268:C767,client_formula_data!M271,Clean_sheet!K268:K767)</f>
        <v>8192</v>
      </c>
    </row>
    <row r="272" spans="6:14" x14ac:dyDescent="0.25">
      <c r="F272" s="5" t="s">
        <v>45</v>
      </c>
      <c r="G272" s="5">
        <f>_xlfn.XLOOKUP(F272,Product_Master!$A$2:$A$26,Product_Master!$C$2:$C$26)</f>
        <v>249</v>
      </c>
      <c r="H272" s="5" t="str">
        <f>_xlfn.XLOOKUP(F272,Product_Master!$A$2:$A$26,Product_Master!$D$2:$D$26)</f>
        <v>High</v>
      </c>
      <c r="J272" s="4" t="s">
        <v>42</v>
      </c>
      <c r="K272" s="4">
        <v>0</v>
      </c>
      <c r="M272" s="4" t="s">
        <v>42</v>
      </c>
      <c r="N272" s="4">
        <f>SUMIF(Clean_sheet!C269:C768,client_formula_data!M272,Clean_sheet!K269:K768)</f>
        <v>4597</v>
      </c>
    </row>
    <row r="273" spans="6:14" x14ac:dyDescent="0.25">
      <c r="F273" s="5" t="s">
        <v>102</v>
      </c>
      <c r="G273" s="5">
        <f>_xlfn.XLOOKUP(F273,Product_Master!$A$2:$A$26,Product_Master!$C$2:$C$26)</f>
        <v>499</v>
      </c>
      <c r="H273" s="5" t="str">
        <f>_xlfn.XLOOKUP(F273,Product_Master!$A$2:$A$26,Product_Master!$D$2:$D$26)</f>
        <v>Medium</v>
      </c>
      <c r="J273" s="4" t="s">
        <v>250</v>
      </c>
      <c r="K273" s="4">
        <v>0</v>
      </c>
      <c r="M273" s="4" t="s">
        <v>250</v>
      </c>
      <c r="N273" s="4">
        <f>SUMIF(Clean_sheet!C270:C769,client_formula_data!M273,Clean_sheet!K270:K769)</f>
        <v>18285</v>
      </c>
    </row>
    <row r="274" spans="6:14" x14ac:dyDescent="0.25">
      <c r="F274" s="5" t="s">
        <v>235</v>
      </c>
      <c r="G274" s="5">
        <f>_xlfn.XLOOKUP(F274,Product_Master!$A$2:$A$26,Product_Master!$C$2:$C$26)</f>
        <v>399</v>
      </c>
      <c r="H274" s="5" t="str">
        <f>_xlfn.XLOOKUP(F274,Product_Master!$A$2:$A$26,Product_Master!$D$2:$D$26)</f>
        <v>High</v>
      </c>
      <c r="J274" s="4" t="s">
        <v>132</v>
      </c>
      <c r="K274" s="4">
        <v>0</v>
      </c>
      <c r="M274" s="4" t="s">
        <v>132</v>
      </c>
      <c r="N274" s="4">
        <f>SUMIF(Clean_sheet!C271:C770,client_formula_data!M274,Clean_sheet!K271:K770)</f>
        <v>995</v>
      </c>
    </row>
    <row r="275" spans="6:14" x14ac:dyDescent="0.25">
      <c r="F275" s="5" t="s">
        <v>69</v>
      </c>
      <c r="G275" s="5">
        <f>_xlfn.XLOOKUP(F275,Product_Master!$A$2:$A$26,Product_Master!$C$2:$C$26)</f>
        <v>499</v>
      </c>
      <c r="H275" s="5" t="str">
        <f>_xlfn.XLOOKUP(F275,Product_Master!$A$2:$A$26,Product_Master!$D$2:$D$26)</f>
        <v>Medium</v>
      </c>
      <c r="J275" s="4" t="s">
        <v>353</v>
      </c>
      <c r="K275" s="4">
        <v>0</v>
      </c>
      <c r="M275" s="4" t="s">
        <v>353</v>
      </c>
      <c r="N275" s="4">
        <f>SUMIF(Clean_sheet!C272:C771,client_formula_data!M275,Clean_sheet!K272:K771)</f>
        <v>2997</v>
      </c>
    </row>
    <row r="276" spans="6:14" x14ac:dyDescent="0.25">
      <c r="F276" s="5" t="s">
        <v>355</v>
      </c>
      <c r="G276" s="5">
        <f>_xlfn.XLOOKUP(F276,Product_Master!$A$2:$A$26,Product_Master!$C$2:$C$26)</f>
        <v>2499</v>
      </c>
      <c r="H276" s="5" t="str">
        <f>_xlfn.XLOOKUP(F276,Product_Master!$A$2:$A$26,Product_Master!$D$2:$D$26)</f>
        <v>Medium</v>
      </c>
      <c r="J276" s="4" t="s">
        <v>114</v>
      </c>
      <c r="K276" s="4">
        <v>0</v>
      </c>
      <c r="M276" s="4" t="s">
        <v>114</v>
      </c>
      <c r="N276" s="4">
        <f>SUMIF(Clean_sheet!C273:C772,client_formula_data!M276,Clean_sheet!K273:K772)</f>
        <v>4743</v>
      </c>
    </row>
    <row r="277" spans="6:14" x14ac:dyDescent="0.25">
      <c r="F277" s="5" t="s">
        <v>99</v>
      </c>
      <c r="G277" s="5">
        <f>_xlfn.XLOOKUP(F277,Product_Master!$A$2:$A$26,Product_Master!$C$2:$C$26)</f>
        <v>1499</v>
      </c>
      <c r="H277" s="5" t="str">
        <f>_xlfn.XLOOKUP(F277,Product_Master!$A$2:$A$26,Product_Master!$D$2:$D$26)</f>
        <v>Low</v>
      </c>
      <c r="J277" s="4" t="s">
        <v>59</v>
      </c>
      <c r="K277" s="4">
        <v>0</v>
      </c>
      <c r="M277" s="4" t="s">
        <v>59</v>
      </c>
      <c r="N277" s="4">
        <f>SUMIF(Clean_sheet!C274:C773,client_formula_data!M277,Clean_sheet!K274:K773)</f>
        <v>14990</v>
      </c>
    </row>
    <row r="278" spans="6:14" x14ac:dyDescent="0.25">
      <c r="F278" s="5" t="s">
        <v>73</v>
      </c>
      <c r="G278" s="5">
        <f>_xlfn.XLOOKUP(F278,Product_Master!$A$2:$A$26,Product_Master!$C$2:$C$26)</f>
        <v>1499</v>
      </c>
      <c r="H278" s="5" t="str">
        <f>_xlfn.XLOOKUP(F278,Product_Master!$A$2:$A$26,Product_Master!$D$2:$D$26)</f>
        <v>Medium</v>
      </c>
      <c r="J278" s="4" t="s">
        <v>56</v>
      </c>
      <c r="K278" s="4">
        <v>0</v>
      </c>
      <c r="M278" s="4" t="s">
        <v>56</v>
      </c>
      <c r="N278" s="4">
        <f>SUMIF(Clean_sheet!C275:C774,client_formula_data!M278,Clean_sheet!K275:K774)</f>
        <v>10589</v>
      </c>
    </row>
    <row r="279" spans="6:14" x14ac:dyDescent="0.25">
      <c r="F279" s="5" t="s">
        <v>94</v>
      </c>
      <c r="G279" s="5">
        <f>_xlfn.XLOOKUP(F279,Product_Master!$A$2:$A$26,Product_Master!$C$2:$C$26)</f>
        <v>999</v>
      </c>
      <c r="H279" s="5" t="str">
        <f>_xlfn.XLOOKUP(F279,Product_Master!$A$2:$A$26,Product_Master!$D$2:$D$26)</f>
        <v>Medium</v>
      </c>
      <c r="J279" s="4" t="s">
        <v>142</v>
      </c>
      <c r="K279" s="4">
        <v>0</v>
      </c>
      <c r="M279" s="4" t="s">
        <v>142</v>
      </c>
      <c r="N279" s="4">
        <f>SUMIF(Clean_sheet!C276:C775,client_formula_data!M279,Clean_sheet!K276:K775)</f>
        <v>7495</v>
      </c>
    </row>
    <row r="280" spans="6:14" x14ac:dyDescent="0.25">
      <c r="F280" s="5" t="s">
        <v>120</v>
      </c>
      <c r="G280" s="5">
        <f>_xlfn.XLOOKUP(F280,Product_Master!$A$2:$A$26,Product_Master!$C$2:$C$26)</f>
        <v>299</v>
      </c>
      <c r="H280" s="5" t="str">
        <f>_xlfn.XLOOKUP(F280,Product_Master!$A$2:$A$26,Product_Master!$D$2:$D$26)</f>
        <v>Medium</v>
      </c>
      <c r="J280" s="4" t="s">
        <v>280</v>
      </c>
      <c r="K280" s="4">
        <v>0</v>
      </c>
      <c r="M280" s="4" t="s">
        <v>280</v>
      </c>
      <c r="N280" s="4">
        <f>SUMIF(Clean_sheet!C277:C776,client_formula_data!M280,Clean_sheet!K277:K776)</f>
        <v>7093</v>
      </c>
    </row>
    <row r="281" spans="6:14" x14ac:dyDescent="0.25">
      <c r="F281" s="5" t="s">
        <v>133</v>
      </c>
      <c r="G281" s="5">
        <f>_xlfn.XLOOKUP(F281,Product_Master!$A$2:$A$26,Product_Master!$C$2:$C$26)</f>
        <v>249</v>
      </c>
      <c r="H281" s="5" t="str">
        <f>_xlfn.XLOOKUP(F281,Product_Master!$A$2:$A$26,Product_Master!$D$2:$D$26)</f>
        <v>High</v>
      </c>
      <c r="J281" s="4" t="s">
        <v>112</v>
      </c>
      <c r="K281" s="4">
        <v>0</v>
      </c>
      <c r="M281" s="4" t="s">
        <v>112</v>
      </c>
      <c r="N281" s="4">
        <f>SUMIF(Clean_sheet!C278:C777,client_formula_data!M281,Clean_sheet!K278:K777)</f>
        <v>5793</v>
      </c>
    </row>
    <row r="282" spans="6:14" x14ac:dyDescent="0.25">
      <c r="F282" s="5" t="s">
        <v>94</v>
      </c>
      <c r="G282" s="5">
        <f>_xlfn.XLOOKUP(F282,Product_Master!$A$2:$A$26,Product_Master!$C$2:$C$26)</f>
        <v>999</v>
      </c>
      <c r="H282" s="5" t="str">
        <f>_xlfn.XLOOKUP(F282,Product_Master!$A$2:$A$26,Product_Master!$D$2:$D$26)</f>
        <v>Medium</v>
      </c>
      <c r="J282" s="4" t="s">
        <v>209</v>
      </c>
      <c r="K282" s="4">
        <v>0</v>
      </c>
      <c r="M282" s="4" t="s">
        <v>209</v>
      </c>
      <c r="N282" s="4">
        <f>SUMIF(Clean_sheet!C279:C778,client_formula_data!M282,Clean_sheet!K279:K778)</f>
        <v>4841</v>
      </c>
    </row>
    <row r="283" spans="6:14" x14ac:dyDescent="0.25">
      <c r="F283" s="5" t="s">
        <v>94</v>
      </c>
      <c r="G283" s="5">
        <f>_xlfn.XLOOKUP(F283,Product_Master!$A$2:$A$26,Product_Master!$C$2:$C$26)</f>
        <v>999</v>
      </c>
      <c r="H283" s="5" t="str">
        <f>_xlfn.XLOOKUP(F283,Product_Master!$A$2:$A$26,Product_Master!$D$2:$D$26)</f>
        <v>Medium</v>
      </c>
      <c r="J283" s="4" t="s">
        <v>150</v>
      </c>
      <c r="K283" s="4">
        <v>0</v>
      </c>
      <c r="M283" s="4" t="s">
        <v>150</v>
      </c>
      <c r="N283" s="4">
        <f>SUMIF(Clean_sheet!C280:C779,client_formula_data!M283,Clean_sheet!K280:K779)</f>
        <v>8293</v>
      </c>
    </row>
    <row r="284" spans="6:14" x14ac:dyDescent="0.25">
      <c r="F284" s="5" t="s">
        <v>120</v>
      </c>
      <c r="G284" s="5">
        <f>_xlfn.XLOOKUP(F284,Product_Master!$A$2:$A$26,Product_Master!$C$2:$C$26)</f>
        <v>299</v>
      </c>
      <c r="H284" s="5" t="str">
        <f>_xlfn.XLOOKUP(F284,Product_Master!$A$2:$A$26,Product_Master!$D$2:$D$26)</f>
        <v>Medium</v>
      </c>
      <c r="J284" s="4" t="s">
        <v>213</v>
      </c>
      <c r="K284" s="4">
        <v>0</v>
      </c>
      <c r="M284" s="4" t="s">
        <v>213</v>
      </c>
      <c r="N284" s="4">
        <f>SUMIF(Clean_sheet!C281:C780,client_formula_data!M284,Clean_sheet!K281:K780)</f>
        <v>3394</v>
      </c>
    </row>
    <row r="285" spans="6:14" x14ac:dyDescent="0.25">
      <c r="F285" s="5" t="s">
        <v>37</v>
      </c>
      <c r="G285" s="5">
        <f>_xlfn.XLOOKUP(F285,Product_Master!$A$2:$A$26,Product_Master!$C$2:$C$26)</f>
        <v>1999</v>
      </c>
      <c r="H285" s="5" t="str">
        <f>_xlfn.XLOOKUP(F285,Product_Master!$A$2:$A$26,Product_Master!$D$2:$D$26)</f>
        <v>High</v>
      </c>
      <c r="J285" s="4" t="s">
        <v>221</v>
      </c>
      <c r="K285" s="4">
        <v>0</v>
      </c>
      <c r="M285" s="4" t="s">
        <v>221</v>
      </c>
      <c r="N285" s="4">
        <f>SUMIF(Clean_sheet!C282:C781,client_formula_data!M285,Clean_sheet!K282:K781)</f>
        <v>9496</v>
      </c>
    </row>
    <row r="286" spans="6:14" x14ac:dyDescent="0.25">
      <c r="F286" s="5" t="s">
        <v>81</v>
      </c>
      <c r="G286" s="5">
        <f>_xlfn.XLOOKUP(F286,Product_Master!$A$2:$A$26,Product_Master!$C$2:$C$26)</f>
        <v>299</v>
      </c>
      <c r="H286" s="5" t="str">
        <f>_xlfn.XLOOKUP(F286,Product_Master!$A$2:$A$26,Product_Master!$D$2:$D$26)</f>
        <v>Low</v>
      </c>
      <c r="J286" s="4" t="s">
        <v>257</v>
      </c>
      <c r="K286" s="4">
        <v>0</v>
      </c>
      <c r="M286" s="4" t="s">
        <v>257</v>
      </c>
      <c r="N286" s="4">
        <f>SUMIF(Clean_sheet!C283:C782,client_formula_data!M286,Clean_sheet!K283:K782)</f>
        <v>24278</v>
      </c>
    </row>
    <row r="287" spans="6:14" x14ac:dyDescent="0.25">
      <c r="F287" s="5" t="s">
        <v>120</v>
      </c>
      <c r="G287" s="5">
        <f>_xlfn.XLOOKUP(F287,Product_Master!$A$2:$A$26,Product_Master!$C$2:$C$26)</f>
        <v>299</v>
      </c>
      <c r="H287" s="5" t="str">
        <f>_xlfn.XLOOKUP(F287,Product_Master!$A$2:$A$26,Product_Master!$D$2:$D$26)</f>
        <v>Medium</v>
      </c>
      <c r="J287" s="4" t="s">
        <v>280</v>
      </c>
      <c r="K287" s="4">
        <v>0</v>
      </c>
      <c r="M287" s="4" t="s">
        <v>280</v>
      </c>
      <c r="N287" s="4">
        <f>SUMIF(Clean_sheet!C284:C783,client_formula_data!M287,Clean_sheet!K284:K783)</f>
        <v>5094</v>
      </c>
    </row>
    <row r="288" spans="6:14" x14ac:dyDescent="0.25">
      <c r="F288" s="5" t="s">
        <v>64</v>
      </c>
      <c r="G288" s="5">
        <f>_xlfn.XLOOKUP(F288,Product_Master!$A$2:$A$26,Product_Master!$C$2:$C$26)</f>
        <v>599</v>
      </c>
      <c r="H288" s="5" t="str">
        <f>_xlfn.XLOOKUP(F288,Product_Master!$A$2:$A$26,Product_Master!$D$2:$D$26)</f>
        <v>Low</v>
      </c>
      <c r="J288" s="4" t="s">
        <v>224</v>
      </c>
      <c r="K288" s="4">
        <v>0</v>
      </c>
      <c r="M288" s="4" t="s">
        <v>224</v>
      </c>
      <c r="N288" s="4">
        <f>SUMIF(Clean_sheet!C285:C784,client_formula_data!M288,Clean_sheet!K285:K784)</f>
        <v>24930</v>
      </c>
    </row>
    <row r="289" spans="6:14" x14ac:dyDescent="0.25">
      <c r="F289" s="5" t="s">
        <v>45</v>
      </c>
      <c r="G289" s="5">
        <f>_xlfn.XLOOKUP(F289,Product_Master!$A$2:$A$26,Product_Master!$C$2:$C$26)</f>
        <v>249</v>
      </c>
      <c r="H289" s="5" t="str">
        <f>_xlfn.XLOOKUP(F289,Product_Master!$A$2:$A$26,Product_Master!$D$2:$D$26)</f>
        <v>High</v>
      </c>
      <c r="J289" s="4" t="s">
        <v>132</v>
      </c>
      <c r="K289" s="4">
        <v>0</v>
      </c>
      <c r="M289" s="4" t="s">
        <v>132</v>
      </c>
      <c r="N289" s="4">
        <f>SUMIF(Clean_sheet!C286:C785,client_formula_data!M289,Clean_sheet!K286:K785)</f>
        <v>796</v>
      </c>
    </row>
    <row r="290" spans="6:14" x14ac:dyDescent="0.25">
      <c r="F290" s="5" t="s">
        <v>120</v>
      </c>
      <c r="G290" s="5">
        <f>_xlfn.XLOOKUP(F290,Product_Master!$A$2:$A$26,Product_Master!$C$2:$C$26)</f>
        <v>299</v>
      </c>
      <c r="H290" s="5" t="str">
        <f>_xlfn.XLOOKUP(F290,Product_Master!$A$2:$A$26,Product_Master!$D$2:$D$26)</f>
        <v>Medium</v>
      </c>
      <c r="J290" s="4" t="s">
        <v>270</v>
      </c>
      <c r="K290" s="4">
        <v>0</v>
      </c>
      <c r="M290" s="4" t="s">
        <v>270</v>
      </c>
      <c r="N290" s="4">
        <f>SUMIF(Clean_sheet!C287:C786,client_formula_data!M290,Clean_sheet!K287:K786)</f>
        <v>7589</v>
      </c>
    </row>
    <row r="291" spans="6:14" x14ac:dyDescent="0.25">
      <c r="F291" s="5" t="s">
        <v>99</v>
      </c>
      <c r="G291" s="5">
        <f>_xlfn.XLOOKUP(F291,Product_Master!$A$2:$A$26,Product_Master!$C$2:$C$26)</f>
        <v>1499</v>
      </c>
      <c r="H291" s="5" t="str">
        <f>_xlfn.XLOOKUP(F291,Product_Master!$A$2:$A$26,Product_Master!$D$2:$D$26)</f>
        <v>Low</v>
      </c>
      <c r="J291" s="4" t="s">
        <v>360</v>
      </c>
      <c r="K291" s="4">
        <v>0</v>
      </c>
      <c r="M291" s="4" t="s">
        <v>360</v>
      </c>
      <c r="N291" s="4">
        <f>SUMIF(Clean_sheet!C288:C787,client_formula_data!M291,Clean_sheet!K288:K787)</f>
        <v>8382</v>
      </c>
    </row>
    <row r="292" spans="6:14" x14ac:dyDescent="0.25">
      <c r="F292" s="5" t="s">
        <v>171</v>
      </c>
      <c r="G292" s="5">
        <f>_xlfn.XLOOKUP(F292,Product_Master!$A$2:$A$26,Product_Master!$C$2:$C$26)</f>
        <v>299</v>
      </c>
      <c r="H292" s="5" t="str">
        <f>_xlfn.XLOOKUP(F292,Product_Master!$A$2:$A$26,Product_Master!$D$2:$D$26)</f>
        <v>High</v>
      </c>
      <c r="J292" s="4" t="s">
        <v>182</v>
      </c>
      <c r="K292" s="4">
        <v>0</v>
      </c>
      <c r="M292" s="4" t="s">
        <v>182</v>
      </c>
      <c r="N292" s="4">
        <f>SUMIF(Clean_sheet!C289:C788,client_formula_data!M292,Clean_sheet!K289:K788)</f>
        <v>13494</v>
      </c>
    </row>
    <row r="293" spans="6:14" x14ac:dyDescent="0.25">
      <c r="F293" s="5" t="s">
        <v>30</v>
      </c>
      <c r="G293" s="5">
        <f>_xlfn.XLOOKUP(F293,Product_Master!$A$2:$A$26,Product_Master!$C$2:$C$26)</f>
        <v>799</v>
      </c>
      <c r="H293" s="5" t="str">
        <f>_xlfn.XLOOKUP(F293,Product_Master!$A$2:$A$26,Product_Master!$D$2:$D$26)</f>
        <v>High</v>
      </c>
      <c r="J293" s="4" t="s">
        <v>270</v>
      </c>
      <c r="K293" s="4">
        <v>0</v>
      </c>
      <c r="M293" s="4" t="s">
        <v>270</v>
      </c>
      <c r="N293" s="4">
        <f>SUMIF(Clean_sheet!C290:C789,client_formula_data!M293,Clean_sheet!K290:K789)</f>
        <v>3591</v>
      </c>
    </row>
    <row r="294" spans="6:14" x14ac:dyDescent="0.25">
      <c r="F294" s="5" t="s">
        <v>355</v>
      </c>
      <c r="G294" s="5">
        <f>_xlfn.XLOOKUP(F294,Product_Master!$A$2:$A$26,Product_Master!$C$2:$C$26)</f>
        <v>2499</v>
      </c>
      <c r="H294" s="5" t="str">
        <f>_xlfn.XLOOKUP(F294,Product_Master!$A$2:$A$26,Product_Master!$D$2:$D$26)</f>
        <v>Medium</v>
      </c>
      <c r="J294" s="4" t="s">
        <v>110</v>
      </c>
      <c r="K294" s="4">
        <v>0</v>
      </c>
      <c r="M294" s="4" t="s">
        <v>110</v>
      </c>
      <c r="N294" s="4">
        <f>SUMIF(Clean_sheet!C291:C790,client_formula_data!M294,Clean_sheet!K291:K790)</f>
        <v>21788</v>
      </c>
    </row>
    <row r="295" spans="6:14" x14ac:dyDescent="0.25">
      <c r="F295" s="5" t="s">
        <v>200</v>
      </c>
      <c r="G295" s="5">
        <f>_xlfn.XLOOKUP(F295,Product_Master!$A$2:$A$26,Product_Master!$C$2:$C$26)</f>
        <v>1299</v>
      </c>
      <c r="H295" s="5" t="str">
        <f>_xlfn.XLOOKUP(F295,Product_Master!$A$2:$A$26,Product_Master!$D$2:$D$26)</f>
        <v>High</v>
      </c>
      <c r="J295" s="4" t="s">
        <v>84</v>
      </c>
      <c r="K295" s="4">
        <v>0</v>
      </c>
      <c r="M295" s="4" t="s">
        <v>84</v>
      </c>
      <c r="N295" s="4">
        <f>SUMIF(Clean_sheet!C292:C791,client_formula_data!M295,Clean_sheet!K292:K791)</f>
        <v>8792</v>
      </c>
    </row>
    <row r="296" spans="6:14" x14ac:dyDescent="0.25">
      <c r="F296" s="5" t="s">
        <v>99</v>
      </c>
      <c r="G296" s="5">
        <f>_xlfn.XLOOKUP(F296,Product_Master!$A$2:$A$26,Product_Master!$C$2:$C$26)</f>
        <v>1499</v>
      </c>
      <c r="H296" s="5" t="str">
        <f>_xlfn.XLOOKUP(F296,Product_Master!$A$2:$A$26,Product_Master!$D$2:$D$26)</f>
        <v>Low</v>
      </c>
      <c r="J296" s="4" t="s">
        <v>110</v>
      </c>
      <c r="K296" s="4">
        <v>0</v>
      </c>
      <c r="M296" s="4" t="s">
        <v>110</v>
      </c>
      <c r="N296" s="4">
        <f>SUMIF(Clean_sheet!C293:C792,client_formula_data!M296,Clean_sheet!K293:K792)</f>
        <v>11792</v>
      </c>
    </row>
    <row r="297" spans="6:14" x14ac:dyDescent="0.25">
      <c r="F297" s="5" t="s">
        <v>73</v>
      </c>
      <c r="G297" s="5">
        <f>_xlfn.XLOOKUP(F297,Product_Master!$A$2:$A$26,Product_Master!$C$2:$C$26)</f>
        <v>1499</v>
      </c>
      <c r="H297" s="5" t="str">
        <f>_xlfn.XLOOKUP(F297,Product_Master!$A$2:$A$26,Product_Master!$D$2:$D$26)</f>
        <v>Medium</v>
      </c>
      <c r="J297" s="4" t="s">
        <v>93</v>
      </c>
      <c r="K297" s="4">
        <v>0</v>
      </c>
      <c r="M297" s="4" t="s">
        <v>93</v>
      </c>
      <c r="N297" s="4">
        <f>SUMIF(Clean_sheet!C294:C793,client_formula_data!M297,Clean_sheet!K294:K793)</f>
        <v>7188</v>
      </c>
    </row>
    <row r="298" spans="6:14" x14ac:dyDescent="0.25">
      <c r="F298" s="5" t="s">
        <v>64</v>
      </c>
      <c r="G298" s="5">
        <f>_xlfn.XLOOKUP(F298,Product_Master!$A$2:$A$26,Product_Master!$C$2:$C$26)</f>
        <v>599</v>
      </c>
      <c r="H298" s="5" t="str">
        <f>_xlfn.XLOOKUP(F298,Product_Master!$A$2:$A$26,Product_Master!$D$2:$D$26)</f>
        <v>Low</v>
      </c>
      <c r="J298" s="4" t="s">
        <v>119</v>
      </c>
      <c r="K298" s="4">
        <v>0</v>
      </c>
      <c r="M298" s="4" t="s">
        <v>119</v>
      </c>
      <c r="N298" s="4">
        <f>SUMIF(Clean_sheet!C295:C794,client_formula_data!M298,Clean_sheet!K295:K794)</f>
        <v>12785</v>
      </c>
    </row>
    <row r="299" spans="6:14" x14ac:dyDescent="0.25">
      <c r="F299" s="5" t="s">
        <v>137</v>
      </c>
      <c r="G299" s="5">
        <f>_xlfn.XLOOKUP(F299,Product_Master!$A$2:$A$26,Product_Master!$C$2:$C$26)</f>
        <v>299</v>
      </c>
      <c r="H299" s="5" t="str">
        <f>_xlfn.XLOOKUP(F299,Product_Master!$A$2:$A$26,Product_Master!$D$2:$D$26)</f>
        <v>Low</v>
      </c>
      <c r="J299" s="4" t="s">
        <v>239</v>
      </c>
      <c r="K299" s="4">
        <v>0</v>
      </c>
      <c r="M299" s="4" t="s">
        <v>239</v>
      </c>
      <c r="N299" s="4">
        <f>SUMIF(Clean_sheet!C296:C795,client_formula_data!M299,Clean_sheet!K296:K795)</f>
        <v>12686</v>
      </c>
    </row>
    <row r="300" spans="6:14" x14ac:dyDescent="0.25">
      <c r="F300" s="5" t="s">
        <v>81</v>
      </c>
      <c r="G300" s="5">
        <f>_xlfn.XLOOKUP(F300,Product_Master!$A$2:$A$26,Product_Master!$C$2:$C$26)</f>
        <v>299</v>
      </c>
      <c r="H300" s="5" t="str">
        <f>_xlfn.XLOOKUP(F300,Product_Master!$A$2:$A$26,Product_Master!$D$2:$D$26)</f>
        <v>Low</v>
      </c>
      <c r="J300" s="4" t="s">
        <v>372</v>
      </c>
      <c r="K300" s="4">
        <v>0</v>
      </c>
      <c r="M300" s="4" t="s">
        <v>372</v>
      </c>
      <c r="N300" s="4">
        <f>SUMIF(Clean_sheet!C297:C796,client_formula_data!M300,Clean_sheet!K297:K796)</f>
        <v>4998</v>
      </c>
    </row>
    <row r="301" spans="6:14" x14ac:dyDescent="0.25">
      <c r="F301" s="5" t="s">
        <v>235</v>
      </c>
      <c r="G301" s="5">
        <f>_xlfn.XLOOKUP(F301,Product_Master!$A$2:$A$26,Product_Master!$C$2:$C$26)</f>
        <v>399</v>
      </c>
      <c r="H301" s="5" t="str">
        <f>_xlfn.XLOOKUP(F301,Product_Master!$A$2:$A$26,Product_Master!$D$2:$D$26)</f>
        <v>High</v>
      </c>
      <c r="J301" s="4" t="s">
        <v>310</v>
      </c>
      <c r="K301" s="4">
        <v>0</v>
      </c>
      <c r="M301" s="4" t="s">
        <v>310</v>
      </c>
      <c r="N301" s="4">
        <f>SUMIF(Clean_sheet!C298:C797,client_formula_data!M301,Clean_sheet!K298:K797)</f>
        <v>5797</v>
      </c>
    </row>
    <row r="302" spans="6:14" x14ac:dyDescent="0.25">
      <c r="F302" s="5" t="s">
        <v>94</v>
      </c>
      <c r="G302" s="5">
        <f>_xlfn.XLOOKUP(F302,Product_Master!$A$2:$A$26,Product_Master!$C$2:$C$26)</f>
        <v>999</v>
      </c>
      <c r="H302" s="5" t="str">
        <f>_xlfn.XLOOKUP(F302,Product_Master!$A$2:$A$26,Product_Master!$D$2:$D$26)</f>
        <v>Medium</v>
      </c>
      <c r="J302" s="4" t="s">
        <v>17</v>
      </c>
      <c r="K302" s="4">
        <v>0</v>
      </c>
      <c r="M302" s="4" t="s">
        <v>17</v>
      </c>
      <c r="N302" s="4">
        <f>SUMIF(Clean_sheet!C299:C798,client_formula_data!M302,Clean_sheet!K299:K798)</f>
        <v>12581</v>
      </c>
    </row>
    <row r="303" spans="6:14" x14ac:dyDescent="0.25">
      <c r="F303" s="5" t="s">
        <v>30</v>
      </c>
      <c r="G303" s="5">
        <f>_xlfn.XLOOKUP(F303,Product_Master!$A$2:$A$26,Product_Master!$C$2:$C$26)</f>
        <v>799</v>
      </c>
      <c r="H303" s="5" t="str">
        <f>_xlfn.XLOOKUP(F303,Product_Master!$A$2:$A$26,Product_Master!$D$2:$D$26)</f>
        <v>High</v>
      </c>
      <c r="J303" s="4" t="s">
        <v>310</v>
      </c>
      <c r="K303" s="4">
        <v>0</v>
      </c>
      <c r="M303" s="4" t="s">
        <v>310</v>
      </c>
      <c r="N303" s="4">
        <f>SUMIF(Clean_sheet!C300:C799,client_formula_data!M303,Clean_sheet!K300:K799)</f>
        <v>4998</v>
      </c>
    </row>
    <row r="304" spans="6:14" x14ac:dyDescent="0.25">
      <c r="F304" s="5" t="s">
        <v>81</v>
      </c>
      <c r="G304" s="5">
        <f>_xlfn.XLOOKUP(F304,Product_Master!$A$2:$A$26,Product_Master!$C$2:$C$26)</f>
        <v>299</v>
      </c>
      <c r="H304" s="5" t="str">
        <f>_xlfn.XLOOKUP(F304,Product_Master!$A$2:$A$26,Product_Master!$D$2:$D$26)</f>
        <v>Low</v>
      </c>
      <c r="J304" s="4" t="s">
        <v>164</v>
      </c>
      <c r="K304" s="4">
        <v>0</v>
      </c>
      <c r="M304" s="4" t="s">
        <v>164</v>
      </c>
      <c r="N304" s="4">
        <f>SUMIF(Clean_sheet!C301:C800,client_formula_data!M304,Clean_sheet!K301:K800)</f>
        <v>7193</v>
      </c>
    </row>
    <row r="305" spans="6:14" x14ac:dyDescent="0.25">
      <c r="F305" s="5" t="s">
        <v>99</v>
      </c>
      <c r="G305" s="5">
        <f>_xlfn.XLOOKUP(F305,Product_Master!$A$2:$A$26,Product_Master!$C$2:$C$26)</f>
        <v>1499</v>
      </c>
      <c r="H305" s="5" t="str">
        <f>_xlfn.XLOOKUP(F305,Product_Master!$A$2:$A$26,Product_Master!$D$2:$D$26)</f>
        <v>Low</v>
      </c>
      <c r="J305" s="4" t="s">
        <v>377</v>
      </c>
      <c r="K305" s="4">
        <v>0</v>
      </c>
      <c r="M305" s="4" t="s">
        <v>377</v>
      </c>
      <c r="N305" s="4">
        <f>SUMIF(Clean_sheet!C302:C801,client_formula_data!M305,Clean_sheet!K302:K801)</f>
        <v>1197</v>
      </c>
    </row>
    <row r="306" spans="6:14" x14ac:dyDescent="0.25">
      <c r="F306" s="5" t="s">
        <v>140</v>
      </c>
      <c r="G306" s="5">
        <f>_xlfn.XLOOKUP(F306,Product_Master!$A$2:$A$26,Product_Master!$C$2:$C$26)</f>
        <v>499</v>
      </c>
      <c r="H306" s="5" t="str">
        <f>_xlfn.XLOOKUP(F306,Product_Master!$A$2:$A$26,Product_Master!$D$2:$D$26)</f>
        <v>Medium</v>
      </c>
      <c r="J306" s="4" t="s">
        <v>88</v>
      </c>
      <c r="K306" s="4">
        <v>0</v>
      </c>
      <c r="M306" s="4" t="s">
        <v>88</v>
      </c>
      <c r="N306" s="4">
        <f>SUMIF(Clean_sheet!C303:C802,client_formula_data!M306,Clean_sheet!K303:K802)</f>
        <v>4193</v>
      </c>
    </row>
    <row r="307" spans="6:14" x14ac:dyDescent="0.25">
      <c r="F307" s="5" t="s">
        <v>64</v>
      </c>
      <c r="G307" s="5">
        <f>_xlfn.XLOOKUP(F307,Product_Master!$A$2:$A$26,Product_Master!$C$2:$C$26)</f>
        <v>599</v>
      </c>
      <c r="H307" s="5" t="str">
        <f>_xlfn.XLOOKUP(F307,Product_Master!$A$2:$A$26,Product_Master!$D$2:$D$26)</f>
        <v>Low</v>
      </c>
      <c r="J307" s="4" t="s">
        <v>192</v>
      </c>
      <c r="K307" s="4">
        <v>0</v>
      </c>
      <c r="M307" s="4" t="s">
        <v>192</v>
      </c>
      <c r="N307" s="4">
        <f>SUMIF(Clean_sheet!C304:C803,client_formula_data!M307,Clean_sheet!K304:K803)</f>
        <v>19633</v>
      </c>
    </row>
    <row r="308" spans="6:14" x14ac:dyDescent="0.25">
      <c r="F308" s="5" t="s">
        <v>81</v>
      </c>
      <c r="G308" s="5">
        <f>_xlfn.XLOOKUP(F308,Product_Master!$A$2:$A$26,Product_Master!$C$2:$C$26)</f>
        <v>299</v>
      </c>
      <c r="H308" s="5" t="str">
        <f>_xlfn.XLOOKUP(F308,Product_Master!$A$2:$A$26,Product_Master!$D$2:$D$26)</f>
        <v>Low</v>
      </c>
      <c r="J308" s="4" t="s">
        <v>209</v>
      </c>
      <c r="K308" s="4">
        <v>0</v>
      </c>
      <c r="M308" s="4" t="s">
        <v>209</v>
      </c>
      <c r="N308" s="4">
        <f>SUMIF(Clean_sheet!C305:C804,client_formula_data!M308,Clean_sheet!K305:K804)</f>
        <v>4592</v>
      </c>
    </row>
    <row r="309" spans="6:14" x14ac:dyDescent="0.25">
      <c r="F309" s="5" t="s">
        <v>21</v>
      </c>
      <c r="G309" s="5">
        <f>_xlfn.XLOOKUP(F309,Product_Master!$A$2:$A$26,Product_Master!$C$2:$C$26)</f>
        <v>1499</v>
      </c>
      <c r="H309" s="5" t="str">
        <f>_xlfn.XLOOKUP(F309,Product_Master!$A$2:$A$26,Product_Master!$D$2:$D$26)</f>
        <v>Low</v>
      </c>
      <c r="J309" s="4" t="s">
        <v>342</v>
      </c>
      <c r="K309" s="4">
        <v>0</v>
      </c>
      <c r="M309" s="4" t="s">
        <v>342</v>
      </c>
      <c r="N309" s="4">
        <f>SUMIF(Clean_sheet!C306:C805,client_formula_data!M309,Clean_sheet!K306:K805)</f>
        <v>2996</v>
      </c>
    </row>
    <row r="310" spans="6:14" x14ac:dyDescent="0.25">
      <c r="F310" s="5" t="s">
        <v>177</v>
      </c>
      <c r="G310" s="5">
        <f>_xlfn.XLOOKUP(F310,Product_Master!$A$2:$A$26,Product_Master!$C$2:$C$26)</f>
        <v>299</v>
      </c>
      <c r="H310" s="5" t="str">
        <f>_xlfn.XLOOKUP(F310,Product_Master!$A$2:$A$26,Product_Master!$D$2:$D$26)</f>
        <v>Low</v>
      </c>
      <c r="J310" s="4" t="s">
        <v>495</v>
      </c>
      <c r="K310" s="4">
        <v>0</v>
      </c>
      <c r="M310" s="4" t="s">
        <v>495</v>
      </c>
      <c r="N310" s="4">
        <f>SUMIF(Clean_sheet!C307:C806,client_formula_data!M310,Clean_sheet!K307:K806)</f>
        <v>8490</v>
      </c>
    </row>
    <row r="311" spans="6:14" x14ac:dyDescent="0.25">
      <c r="F311" s="5" t="s">
        <v>99</v>
      </c>
      <c r="G311" s="5">
        <f>_xlfn.XLOOKUP(F311,Product_Master!$A$2:$A$26,Product_Master!$C$2:$C$26)</f>
        <v>1499</v>
      </c>
      <c r="H311" s="5" t="str">
        <f>_xlfn.XLOOKUP(F311,Product_Master!$A$2:$A$26,Product_Master!$D$2:$D$26)</f>
        <v>Low</v>
      </c>
      <c r="J311" s="4" t="s">
        <v>414</v>
      </c>
      <c r="K311" s="4">
        <v>0</v>
      </c>
      <c r="M311" s="4" t="s">
        <v>414</v>
      </c>
      <c r="N311" s="4">
        <f>SUMIF(Clean_sheet!C308:C807,client_formula_data!M311,Clean_sheet!K308:K807)</f>
        <v>8590</v>
      </c>
    </row>
    <row r="312" spans="6:14" x14ac:dyDescent="0.25">
      <c r="F312" s="5" t="s">
        <v>69</v>
      </c>
      <c r="G312" s="5">
        <f>_xlfn.XLOOKUP(F312,Product_Master!$A$2:$A$26,Product_Master!$C$2:$C$26)</f>
        <v>499</v>
      </c>
      <c r="H312" s="5" t="str">
        <f>_xlfn.XLOOKUP(F312,Product_Master!$A$2:$A$26,Product_Master!$D$2:$D$26)</f>
        <v>Medium</v>
      </c>
      <c r="J312" s="4" t="s">
        <v>209</v>
      </c>
      <c r="K312" s="4">
        <v>0</v>
      </c>
      <c r="M312" s="4" t="s">
        <v>209</v>
      </c>
      <c r="N312" s="4">
        <f>SUMIF(Clean_sheet!C309:C808,client_formula_data!M312,Clean_sheet!K309:K808)</f>
        <v>3396</v>
      </c>
    </row>
    <row r="313" spans="6:14" x14ac:dyDescent="0.25">
      <c r="F313" s="5" t="s">
        <v>156</v>
      </c>
      <c r="G313" s="5">
        <f>_xlfn.XLOOKUP(F313,Product_Master!$A$2:$A$26,Product_Master!$C$2:$C$26)</f>
        <v>599</v>
      </c>
      <c r="H313" s="5" t="str">
        <f>_xlfn.XLOOKUP(F313,Product_Master!$A$2:$A$26,Product_Master!$D$2:$D$26)</f>
        <v>High</v>
      </c>
      <c r="J313" s="4" t="s">
        <v>304</v>
      </c>
      <c r="K313" s="4">
        <v>0</v>
      </c>
      <c r="M313" s="4" t="s">
        <v>304</v>
      </c>
      <c r="N313" s="4">
        <f>SUMIF(Clean_sheet!C310:C809,client_formula_data!M313,Clean_sheet!K310:K809)</f>
        <v>2296</v>
      </c>
    </row>
    <row r="314" spans="6:14" x14ac:dyDescent="0.25">
      <c r="F314" s="5" t="s">
        <v>37</v>
      </c>
      <c r="G314" s="5">
        <f>_xlfn.XLOOKUP(F314,Product_Master!$A$2:$A$26,Product_Master!$C$2:$C$26)</f>
        <v>1999</v>
      </c>
      <c r="H314" s="5" t="str">
        <f>_xlfn.XLOOKUP(F314,Product_Master!$A$2:$A$26,Product_Master!$D$2:$D$26)</f>
        <v>High</v>
      </c>
      <c r="J314" s="4" t="s">
        <v>239</v>
      </c>
      <c r="K314" s="4">
        <v>0</v>
      </c>
      <c r="M314" s="4" t="s">
        <v>239</v>
      </c>
      <c r="N314" s="4">
        <f>SUMIF(Clean_sheet!C311:C810,client_formula_data!M314,Clean_sheet!K311:K810)</f>
        <v>11690</v>
      </c>
    </row>
    <row r="315" spans="6:14" x14ac:dyDescent="0.25">
      <c r="F315" s="5" t="s">
        <v>37</v>
      </c>
      <c r="G315" s="5">
        <f>_xlfn.XLOOKUP(F315,Product_Master!$A$2:$A$26,Product_Master!$C$2:$C$26)</f>
        <v>1999</v>
      </c>
      <c r="H315" s="5" t="str">
        <f>_xlfn.XLOOKUP(F315,Product_Master!$A$2:$A$26,Product_Master!$D$2:$D$26)</f>
        <v>High</v>
      </c>
      <c r="J315" s="4" t="s">
        <v>250</v>
      </c>
      <c r="K315" s="4">
        <v>0</v>
      </c>
      <c r="M315" s="4" t="s">
        <v>250</v>
      </c>
      <c r="N315" s="4">
        <f>SUMIF(Clean_sheet!C312:C811,client_formula_data!M315,Clean_sheet!K312:K811)</f>
        <v>14290</v>
      </c>
    </row>
    <row r="316" spans="6:14" x14ac:dyDescent="0.25">
      <c r="F316" s="5" t="s">
        <v>69</v>
      </c>
      <c r="G316" s="5">
        <f>_xlfn.XLOOKUP(F316,Product_Master!$A$2:$A$26,Product_Master!$C$2:$C$26)</f>
        <v>499</v>
      </c>
      <c r="H316" s="5" t="str">
        <f>_xlfn.XLOOKUP(F316,Product_Master!$A$2:$A$26,Product_Master!$D$2:$D$26)</f>
        <v>Medium</v>
      </c>
      <c r="J316" s="4" t="s">
        <v>304</v>
      </c>
      <c r="K316" s="4">
        <v>0</v>
      </c>
      <c r="M316" s="4" t="s">
        <v>304</v>
      </c>
      <c r="N316" s="4">
        <f>SUMIF(Clean_sheet!C313:C812,client_formula_data!M316,Clean_sheet!K313:K812)</f>
        <v>1797</v>
      </c>
    </row>
    <row r="317" spans="6:14" x14ac:dyDescent="0.25">
      <c r="F317" s="5" t="s">
        <v>73</v>
      </c>
      <c r="G317" s="5">
        <f>_xlfn.XLOOKUP(F317,Product_Master!$A$2:$A$26,Product_Master!$C$2:$C$26)</f>
        <v>1499</v>
      </c>
      <c r="H317" s="5" t="str">
        <f>_xlfn.XLOOKUP(F317,Product_Master!$A$2:$A$26,Product_Master!$D$2:$D$26)</f>
        <v>Medium</v>
      </c>
      <c r="J317" s="4" t="s">
        <v>261</v>
      </c>
      <c r="K317" s="4">
        <v>0</v>
      </c>
      <c r="M317" s="4" t="s">
        <v>261</v>
      </c>
      <c r="N317" s="4">
        <f>SUMIF(Clean_sheet!C314:C813,client_formula_data!M317,Clean_sheet!K314:K813)</f>
        <v>1499</v>
      </c>
    </row>
    <row r="318" spans="6:14" x14ac:dyDescent="0.25">
      <c r="F318" s="5" t="s">
        <v>37</v>
      </c>
      <c r="G318" s="5">
        <f>_xlfn.XLOOKUP(F318,Product_Master!$A$2:$A$26,Product_Master!$C$2:$C$26)</f>
        <v>1999</v>
      </c>
      <c r="H318" s="5" t="str">
        <f>_xlfn.XLOOKUP(F318,Product_Master!$A$2:$A$26,Product_Master!$D$2:$D$26)</f>
        <v>High</v>
      </c>
      <c r="J318" s="4" t="s">
        <v>84</v>
      </c>
      <c r="K318" s="4">
        <v>0</v>
      </c>
      <c r="M318" s="4" t="s">
        <v>84</v>
      </c>
      <c r="N318" s="4">
        <f>SUMIF(Clean_sheet!C315:C814,client_formula_data!M318,Clean_sheet!K315:K814)</f>
        <v>7794</v>
      </c>
    </row>
    <row r="319" spans="6:14" x14ac:dyDescent="0.25">
      <c r="F319" s="5" t="s">
        <v>151</v>
      </c>
      <c r="G319" s="5">
        <f>_xlfn.XLOOKUP(F319,Product_Master!$A$2:$A$26,Product_Master!$C$2:$C$26)</f>
        <v>1299</v>
      </c>
      <c r="H319" s="5" t="str">
        <f>_xlfn.XLOOKUP(F319,Product_Master!$A$2:$A$26,Product_Master!$D$2:$D$26)</f>
        <v>Medium</v>
      </c>
      <c r="J319" s="4" t="s">
        <v>75</v>
      </c>
      <c r="K319" s="4">
        <v>0</v>
      </c>
      <c r="M319" s="4" t="s">
        <v>75</v>
      </c>
      <c r="N319" s="4">
        <f>SUMIF(Clean_sheet!C316:C815,client_formula_data!M319,Clean_sheet!K316:K815)</f>
        <v>16678</v>
      </c>
    </row>
    <row r="320" spans="6:14" x14ac:dyDescent="0.25">
      <c r="F320" s="5" t="s">
        <v>30</v>
      </c>
      <c r="G320" s="5">
        <f>_xlfn.XLOOKUP(F320,Product_Master!$A$2:$A$26,Product_Master!$C$2:$C$26)</f>
        <v>799</v>
      </c>
      <c r="H320" s="5" t="str">
        <f>_xlfn.XLOOKUP(F320,Product_Master!$A$2:$A$26,Product_Master!$D$2:$D$26)</f>
        <v>High</v>
      </c>
      <c r="J320" s="4" t="s">
        <v>112</v>
      </c>
      <c r="K320" s="4">
        <v>0</v>
      </c>
      <c r="M320" s="4" t="s">
        <v>112</v>
      </c>
      <c r="N320" s="4">
        <f>SUMIF(Clean_sheet!C317:C816,client_formula_data!M320,Clean_sheet!K317:K816)</f>
        <v>4296</v>
      </c>
    </row>
    <row r="321" spans="6:14" x14ac:dyDescent="0.25">
      <c r="F321" s="5" t="s">
        <v>94</v>
      </c>
      <c r="G321" s="5">
        <f>_xlfn.XLOOKUP(F321,Product_Master!$A$2:$A$26,Product_Master!$C$2:$C$26)</f>
        <v>999</v>
      </c>
      <c r="H321" s="5" t="str">
        <f>_xlfn.XLOOKUP(F321,Product_Master!$A$2:$A$26,Product_Master!$D$2:$D$26)</f>
        <v>Medium</v>
      </c>
      <c r="J321" s="4" t="s">
        <v>286</v>
      </c>
      <c r="K321" s="4">
        <v>0</v>
      </c>
      <c r="M321" s="4" t="s">
        <v>286</v>
      </c>
      <c r="N321" s="4">
        <f>SUMIF(Clean_sheet!C318:C817,client_formula_data!M321,Clean_sheet!K318:K817)</f>
        <v>5788</v>
      </c>
    </row>
    <row r="322" spans="6:14" x14ac:dyDescent="0.25">
      <c r="F322" s="5" t="s">
        <v>30</v>
      </c>
      <c r="G322" s="5">
        <f>_xlfn.XLOOKUP(F322,Product_Master!$A$2:$A$26,Product_Master!$C$2:$C$26)</f>
        <v>799</v>
      </c>
      <c r="H322" s="5" t="str">
        <f>_xlfn.XLOOKUP(F322,Product_Master!$A$2:$A$26,Product_Master!$D$2:$D$26)</f>
        <v>High</v>
      </c>
      <c r="J322" s="4" t="s">
        <v>270</v>
      </c>
      <c r="K322" s="4">
        <v>0</v>
      </c>
      <c r="M322" s="4" t="s">
        <v>270</v>
      </c>
      <c r="N322" s="4">
        <f>SUMIF(Clean_sheet!C319:C818,client_formula_data!M322,Clean_sheet!K319:K818)</f>
        <v>1596</v>
      </c>
    </row>
    <row r="323" spans="6:14" x14ac:dyDescent="0.25">
      <c r="F323" s="5" t="s">
        <v>177</v>
      </c>
      <c r="G323" s="5">
        <f>_xlfn.XLOOKUP(F323,Product_Master!$A$2:$A$26,Product_Master!$C$2:$C$26)</f>
        <v>299</v>
      </c>
      <c r="H323" s="5" t="str">
        <f>_xlfn.XLOOKUP(F323,Product_Master!$A$2:$A$26,Product_Master!$D$2:$D$26)</f>
        <v>Low</v>
      </c>
      <c r="J323" s="4" t="s">
        <v>93</v>
      </c>
      <c r="K323" s="4">
        <v>0</v>
      </c>
      <c r="M323" s="4" t="s">
        <v>93</v>
      </c>
      <c r="N323" s="4">
        <f>SUMIF(Clean_sheet!C320:C819,client_formula_data!M323,Clean_sheet!K320:K819)</f>
        <v>1992</v>
      </c>
    </row>
    <row r="324" spans="6:14" x14ac:dyDescent="0.25">
      <c r="F324" s="5" t="s">
        <v>177</v>
      </c>
      <c r="G324" s="5">
        <f>_xlfn.XLOOKUP(F324,Product_Master!$A$2:$A$26,Product_Master!$C$2:$C$26)</f>
        <v>299</v>
      </c>
      <c r="H324" s="5" t="str">
        <f>_xlfn.XLOOKUP(F324,Product_Master!$A$2:$A$26,Product_Master!$D$2:$D$26)</f>
        <v>Low</v>
      </c>
      <c r="J324" s="4" t="s">
        <v>224</v>
      </c>
      <c r="K324" s="4">
        <v>0</v>
      </c>
      <c r="M324" s="4" t="s">
        <v>224</v>
      </c>
      <c r="N324" s="4">
        <f>SUMIF(Clean_sheet!C321:C820,client_formula_data!M324,Clean_sheet!K321:K820)</f>
        <v>18934</v>
      </c>
    </row>
    <row r="325" spans="6:14" x14ac:dyDescent="0.25">
      <c r="F325" s="5" t="s">
        <v>99</v>
      </c>
      <c r="G325" s="5">
        <f>_xlfn.XLOOKUP(F325,Product_Master!$A$2:$A$26,Product_Master!$C$2:$C$26)</f>
        <v>1499</v>
      </c>
      <c r="H325" s="5" t="str">
        <f>_xlfn.XLOOKUP(F325,Product_Master!$A$2:$A$26,Product_Master!$D$2:$D$26)</f>
        <v>Low</v>
      </c>
      <c r="J325" s="4" t="s">
        <v>161</v>
      </c>
      <c r="K325" s="4">
        <v>0</v>
      </c>
      <c r="M325" s="4" t="s">
        <v>161</v>
      </c>
      <c r="N325" s="4">
        <f>SUMIF(Clean_sheet!C322:C821,client_formula_data!M325,Clean_sheet!K322:K821)</f>
        <v>4296</v>
      </c>
    </row>
    <row r="326" spans="6:14" x14ac:dyDescent="0.25">
      <c r="F326" s="5" t="s">
        <v>235</v>
      </c>
      <c r="G326" s="5">
        <f>_xlfn.XLOOKUP(F326,Product_Master!$A$2:$A$26,Product_Master!$C$2:$C$26)</f>
        <v>399</v>
      </c>
      <c r="H326" s="5" t="str">
        <f>_xlfn.XLOOKUP(F326,Product_Master!$A$2:$A$26,Product_Master!$D$2:$D$26)</f>
        <v>High</v>
      </c>
      <c r="J326" s="4" t="s">
        <v>353</v>
      </c>
      <c r="K326" s="4">
        <v>0</v>
      </c>
      <c r="M326" s="4" t="s">
        <v>353</v>
      </c>
      <c r="N326" s="4">
        <f>SUMIF(Clean_sheet!C323:C822,client_formula_data!M326,Clean_sheet!K323:K822)</f>
        <v>2499</v>
      </c>
    </row>
    <row r="327" spans="6:14" x14ac:dyDescent="0.25">
      <c r="F327" s="5" t="s">
        <v>102</v>
      </c>
      <c r="G327" s="5">
        <f>_xlfn.XLOOKUP(F327,Product_Master!$A$2:$A$26,Product_Master!$C$2:$C$26)</f>
        <v>499</v>
      </c>
      <c r="H327" s="5" t="str">
        <f>_xlfn.XLOOKUP(F327,Product_Master!$A$2:$A$26,Product_Master!$D$2:$D$26)</f>
        <v>Medium</v>
      </c>
      <c r="J327" s="4" t="s">
        <v>153</v>
      </c>
      <c r="K327" s="4">
        <v>0</v>
      </c>
      <c r="M327" s="4" t="s">
        <v>153</v>
      </c>
      <c r="N327" s="4">
        <f>SUMIF(Clean_sheet!C324:C823,client_formula_data!M327,Clean_sheet!K324:K823)</f>
        <v>15490</v>
      </c>
    </row>
    <row r="328" spans="6:14" x14ac:dyDescent="0.25">
      <c r="F328" s="5" t="s">
        <v>200</v>
      </c>
      <c r="G328" s="5">
        <f>_xlfn.XLOOKUP(F328,Product_Master!$A$2:$A$26,Product_Master!$C$2:$C$26)</f>
        <v>1299</v>
      </c>
      <c r="H328" s="5" t="str">
        <f>_xlfn.XLOOKUP(F328,Product_Master!$A$2:$A$26,Product_Master!$D$2:$D$26)</f>
        <v>High</v>
      </c>
      <c r="J328" s="4" t="s">
        <v>257</v>
      </c>
      <c r="K328" s="4">
        <v>0</v>
      </c>
      <c r="M328" s="4" t="s">
        <v>257</v>
      </c>
      <c r="N328" s="4">
        <f>SUMIF(Clean_sheet!C325:C824,client_formula_data!M328,Clean_sheet!K325:K824)</f>
        <v>23780</v>
      </c>
    </row>
    <row r="329" spans="6:14" x14ac:dyDescent="0.25">
      <c r="F329" s="5" t="s">
        <v>30</v>
      </c>
      <c r="G329" s="5">
        <f>_xlfn.XLOOKUP(F329,Product_Master!$A$2:$A$26,Product_Master!$C$2:$C$26)</f>
        <v>799</v>
      </c>
      <c r="H329" s="5" t="str">
        <f>_xlfn.XLOOKUP(F329,Product_Master!$A$2:$A$26,Product_Master!$D$2:$D$26)</f>
        <v>High</v>
      </c>
      <c r="J329" s="4" t="s">
        <v>192</v>
      </c>
      <c r="K329" s="4">
        <v>0</v>
      </c>
      <c r="M329" s="4" t="s">
        <v>192</v>
      </c>
      <c r="N329" s="4">
        <f>SUMIF(Clean_sheet!C326:C825,client_formula_data!M329,Clean_sheet!K326:K825)</f>
        <v>17637</v>
      </c>
    </row>
    <row r="330" spans="6:14" x14ac:dyDescent="0.25">
      <c r="F330" s="5" t="s">
        <v>102</v>
      </c>
      <c r="G330" s="5">
        <f>_xlfn.XLOOKUP(F330,Product_Master!$A$2:$A$26,Product_Master!$C$2:$C$26)</f>
        <v>499</v>
      </c>
      <c r="H330" s="5" t="str">
        <f>_xlfn.XLOOKUP(F330,Product_Master!$A$2:$A$26,Product_Master!$D$2:$D$26)</f>
        <v>Medium</v>
      </c>
      <c r="J330" s="4" t="s">
        <v>270</v>
      </c>
      <c r="K330" s="4">
        <v>0</v>
      </c>
      <c r="M330" s="4" t="s">
        <v>270</v>
      </c>
      <c r="N330" s="4">
        <f>SUMIF(Clean_sheet!C327:C826,client_formula_data!M330,Clean_sheet!K327:K826)</f>
        <v>797</v>
      </c>
    </row>
    <row r="331" spans="6:14" x14ac:dyDescent="0.25">
      <c r="F331" s="5" t="s">
        <v>137</v>
      </c>
      <c r="G331" s="5">
        <f>_xlfn.XLOOKUP(F331,Product_Master!$A$2:$A$26,Product_Master!$C$2:$C$26)</f>
        <v>299</v>
      </c>
      <c r="H331" s="5" t="str">
        <f>_xlfn.XLOOKUP(F331,Product_Master!$A$2:$A$26,Product_Master!$D$2:$D$26)</f>
        <v>Low</v>
      </c>
      <c r="J331" s="4" t="s">
        <v>370</v>
      </c>
      <c r="K331" s="4">
        <v>0</v>
      </c>
      <c r="M331" s="4" t="s">
        <v>370</v>
      </c>
      <c r="N331" s="4">
        <f>SUMIF(Clean_sheet!C328:C827,client_formula_data!M331,Clean_sheet!K328:K827)</f>
        <v>3495</v>
      </c>
    </row>
    <row r="332" spans="6:14" x14ac:dyDescent="0.25">
      <c r="F332" s="5" t="s">
        <v>177</v>
      </c>
      <c r="G332" s="5">
        <f>_xlfn.XLOOKUP(F332,Product_Master!$A$2:$A$26,Product_Master!$C$2:$C$26)</f>
        <v>299</v>
      </c>
      <c r="H332" s="5" t="str">
        <f>_xlfn.XLOOKUP(F332,Product_Master!$A$2:$A$26,Product_Master!$D$2:$D$26)</f>
        <v>Low</v>
      </c>
      <c r="J332" s="4" t="s">
        <v>286</v>
      </c>
      <c r="K332" s="4">
        <v>0</v>
      </c>
      <c r="M332" s="4" t="s">
        <v>286</v>
      </c>
      <c r="N332" s="4">
        <f>SUMIF(Clean_sheet!C329:C828,client_formula_data!M332,Clean_sheet!K329:K828)</f>
        <v>3790</v>
      </c>
    </row>
    <row r="333" spans="6:14" x14ac:dyDescent="0.25">
      <c r="F333" s="5" t="s">
        <v>137</v>
      </c>
      <c r="G333" s="5">
        <f>_xlfn.XLOOKUP(F333,Product_Master!$A$2:$A$26,Product_Master!$C$2:$C$26)</f>
        <v>299</v>
      </c>
      <c r="H333" s="5" t="str">
        <f>_xlfn.XLOOKUP(F333,Product_Master!$A$2:$A$26,Product_Master!$D$2:$D$26)</f>
        <v>Low</v>
      </c>
      <c r="J333" s="4" t="s">
        <v>42</v>
      </c>
      <c r="K333" s="4">
        <v>0</v>
      </c>
      <c r="M333" s="4" t="s">
        <v>42</v>
      </c>
      <c r="N333" s="4">
        <f>SUMIF(Clean_sheet!C330:C829,client_formula_data!M333,Clean_sheet!K330:K829)</f>
        <v>3998</v>
      </c>
    </row>
    <row r="334" spans="6:14" x14ac:dyDescent="0.25">
      <c r="F334" s="5" t="s">
        <v>94</v>
      </c>
      <c r="G334" s="5">
        <f>_xlfn.XLOOKUP(F334,Product_Master!$A$2:$A$26,Product_Master!$C$2:$C$26)</f>
        <v>999</v>
      </c>
      <c r="H334" s="5" t="str">
        <f>_xlfn.XLOOKUP(F334,Product_Master!$A$2:$A$26,Product_Master!$D$2:$D$26)</f>
        <v>Medium</v>
      </c>
      <c r="J334" s="4" t="s">
        <v>180</v>
      </c>
      <c r="K334" s="4">
        <v>0</v>
      </c>
      <c r="M334" s="4" t="s">
        <v>180</v>
      </c>
      <c r="N334" s="4">
        <f>SUMIF(Clean_sheet!C331:C830,client_formula_data!M334,Clean_sheet!K331:K830)</f>
        <v>9789</v>
      </c>
    </row>
    <row r="335" spans="6:14" x14ac:dyDescent="0.25">
      <c r="F335" s="5" t="s">
        <v>30</v>
      </c>
      <c r="G335" s="5">
        <f>_xlfn.XLOOKUP(F335,Product_Master!$A$2:$A$26,Product_Master!$C$2:$C$26)</f>
        <v>799</v>
      </c>
      <c r="H335" s="5" t="str">
        <f>_xlfn.XLOOKUP(F335,Product_Master!$A$2:$A$26,Product_Master!$D$2:$D$26)</f>
        <v>High</v>
      </c>
      <c r="J335" s="4" t="s">
        <v>56</v>
      </c>
      <c r="K335" s="4">
        <v>0</v>
      </c>
      <c r="M335" s="4" t="s">
        <v>56</v>
      </c>
      <c r="N335" s="4">
        <f>SUMIF(Clean_sheet!C332:C831,client_formula_data!M335,Clean_sheet!K332:K831)</f>
        <v>5393</v>
      </c>
    </row>
    <row r="336" spans="6:14" x14ac:dyDescent="0.25">
      <c r="F336" s="5" t="s">
        <v>21</v>
      </c>
      <c r="G336" s="5">
        <f>_xlfn.XLOOKUP(F336,Product_Master!$A$2:$A$26,Product_Master!$C$2:$C$26)</f>
        <v>1499</v>
      </c>
      <c r="H336" s="5" t="str">
        <f>_xlfn.XLOOKUP(F336,Product_Master!$A$2:$A$26,Product_Master!$D$2:$D$26)</f>
        <v>Low</v>
      </c>
      <c r="J336" s="4" t="s">
        <v>197</v>
      </c>
      <c r="K336" s="4">
        <v>0</v>
      </c>
      <c r="M336" s="4" t="s">
        <v>197</v>
      </c>
      <c r="N336" s="4">
        <f>SUMIF(Clean_sheet!C333:C832,client_formula_data!M336,Clean_sheet!K333:K832)</f>
        <v>5995</v>
      </c>
    </row>
    <row r="337" spans="6:14" x14ac:dyDescent="0.25">
      <c r="F337" s="5" t="s">
        <v>37</v>
      </c>
      <c r="G337" s="5">
        <f>_xlfn.XLOOKUP(F337,Product_Master!$A$2:$A$26,Product_Master!$C$2:$C$26)</f>
        <v>1999</v>
      </c>
      <c r="H337" s="5" t="str">
        <f>_xlfn.XLOOKUP(F337,Product_Master!$A$2:$A$26,Product_Master!$D$2:$D$26)</f>
        <v>High</v>
      </c>
      <c r="J337" s="4" t="s">
        <v>88</v>
      </c>
      <c r="K337" s="4">
        <v>0</v>
      </c>
      <c r="M337" s="4" t="s">
        <v>88</v>
      </c>
      <c r="N337" s="4">
        <f>SUMIF(Clean_sheet!C334:C833,client_formula_data!M337,Clean_sheet!K334:K833)</f>
        <v>2894</v>
      </c>
    </row>
    <row r="338" spans="6:14" x14ac:dyDescent="0.25">
      <c r="F338" s="5" t="s">
        <v>77</v>
      </c>
      <c r="G338" s="5">
        <f>_xlfn.XLOOKUP(F338,Product_Master!$A$2:$A$26,Product_Master!$C$2:$C$26)</f>
        <v>999</v>
      </c>
      <c r="H338" s="5" t="str">
        <f>_xlfn.XLOOKUP(F338,Product_Master!$A$2:$A$26,Product_Master!$D$2:$D$26)</f>
        <v>High</v>
      </c>
      <c r="J338" s="4" t="s">
        <v>116</v>
      </c>
      <c r="K338" s="4">
        <v>0</v>
      </c>
      <c r="M338" s="4" t="s">
        <v>116</v>
      </c>
      <c r="N338" s="4">
        <f>SUMIF(Clean_sheet!C335:C834,client_formula_data!M338,Clean_sheet!K335:K834)</f>
        <v>4746</v>
      </c>
    </row>
    <row r="339" spans="6:14" x14ac:dyDescent="0.25">
      <c r="F339" s="5" t="s">
        <v>140</v>
      </c>
      <c r="G339" s="5">
        <f>_xlfn.XLOOKUP(F339,Product_Master!$A$2:$A$26,Product_Master!$C$2:$C$26)</f>
        <v>499</v>
      </c>
      <c r="H339" s="5" t="str">
        <f>_xlfn.XLOOKUP(F339,Product_Master!$A$2:$A$26,Product_Master!$D$2:$D$26)</f>
        <v>Medium</v>
      </c>
      <c r="J339" s="4" t="s">
        <v>319</v>
      </c>
      <c r="K339" s="4">
        <v>0</v>
      </c>
      <c r="M339" s="4" t="s">
        <v>319</v>
      </c>
      <c r="N339" s="4">
        <f>SUMIF(Clean_sheet!C336:C835,client_formula_data!M339,Clean_sheet!K336:K835)</f>
        <v>2495</v>
      </c>
    </row>
    <row r="340" spans="6:14" x14ac:dyDescent="0.25">
      <c r="F340" s="5" t="s">
        <v>81</v>
      </c>
      <c r="G340" s="5">
        <f>_xlfn.XLOOKUP(F340,Product_Master!$A$2:$A$26,Product_Master!$C$2:$C$26)</f>
        <v>299</v>
      </c>
      <c r="H340" s="5" t="str">
        <f>_xlfn.XLOOKUP(F340,Product_Master!$A$2:$A$26,Product_Master!$D$2:$D$26)</f>
        <v>Low</v>
      </c>
      <c r="J340" s="4" t="s">
        <v>97</v>
      </c>
      <c r="K340" s="4">
        <v>0</v>
      </c>
      <c r="M340" s="4" t="s">
        <v>97</v>
      </c>
      <c r="N340" s="4">
        <f>SUMIF(Clean_sheet!C337:C836,client_formula_data!M340,Clean_sheet!K337:K836)</f>
        <v>26076</v>
      </c>
    </row>
    <row r="341" spans="6:14" x14ac:dyDescent="0.25">
      <c r="F341" s="5" t="s">
        <v>30</v>
      </c>
      <c r="G341" s="5">
        <f>_xlfn.XLOOKUP(F341,Product_Master!$A$2:$A$26,Product_Master!$C$2:$C$26)</f>
        <v>799</v>
      </c>
      <c r="H341" s="5" t="str">
        <f>_xlfn.XLOOKUP(F341,Product_Master!$A$2:$A$26,Product_Master!$D$2:$D$26)</f>
        <v>High</v>
      </c>
      <c r="J341" s="4" t="s">
        <v>197</v>
      </c>
      <c r="K341" s="4">
        <v>0</v>
      </c>
      <c r="M341" s="4" t="s">
        <v>197</v>
      </c>
      <c r="N341" s="4">
        <f>SUMIF(Clean_sheet!C338:C837,client_formula_data!M341,Clean_sheet!K338:K837)</f>
        <v>5796</v>
      </c>
    </row>
    <row r="342" spans="6:14" x14ac:dyDescent="0.25">
      <c r="F342" s="5" t="s">
        <v>77</v>
      </c>
      <c r="G342" s="5">
        <f>_xlfn.XLOOKUP(F342,Product_Master!$A$2:$A$26,Product_Master!$C$2:$C$26)</f>
        <v>999</v>
      </c>
      <c r="H342" s="5" t="str">
        <f>_xlfn.XLOOKUP(F342,Product_Master!$A$2:$A$26,Product_Master!$D$2:$D$26)</f>
        <v>High</v>
      </c>
      <c r="J342" s="4" t="s">
        <v>280</v>
      </c>
      <c r="K342" s="4">
        <v>0</v>
      </c>
      <c r="M342" s="4" t="s">
        <v>280</v>
      </c>
      <c r="N342" s="4">
        <f>SUMIF(Clean_sheet!C339:C838,client_formula_data!M342,Clean_sheet!K339:K838)</f>
        <v>4495</v>
      </c>
    </row>
    <row r="343" spans="6:14" x14ac:dyDescent="0.25">
      <c r="F343" s="5" t="s">
        <v>52</v>
      </c>
      <c r="G343" s="5">
        <f>_xlfn.XLOOKUP(F343,Product_Master!$A$2:$A$26,Product_Master!$C$2:$C$26)</f>
        <v>299</v>
      </c>
      <c r="H343" s="5" t="str">
        <f>_xlfn.XLOOKUP(F343,Product_Master!$A$2:$A$26,Product_Master!$D$2:$D$26)</f>
        <v>Medium</v>
      </c>
      <c r="J343" s="4" t="s">
        <v>119</v>
      </c>
      <c r="K343" s="4">
        <v>0</v>
      </c>
      <c r="M343" s="4" t="s">
        <v>119</v>
      </c>
      <c r="N343" s="4">
        <f>SUMIF(Clean_sheet!C340:C839,client_formula_data!M343,Clean_sheet!K340:K839)</f>
        <v>12287</v>
      </c>
    </row>
    <row r="344" spans="6:14" x14ac:dyDescent="0.25">
      <c r="F344" s="5" t="s">
        <v>108</v>
      </c>
      <c r="G344" s="5">
        <f>_xlfn.XLOOKUP(F344,Product_Master!$A$2:$A$26,Product_Master!$C$2:$C$26)</f>
        <v>499</v>
      </c>
      <c r="H344" s="5" t="str">
        <f>_xlfn.XLOOKUP(F344,Product_Master!$A$2:$A$26,Product_Master!$D$2:$D$26)</f>
        <v>Medium</v>
      </c>
      <c r="J344" s="4" t="s">
        <v>299</v>
      </c>
      <c r="K344" s="4">
        <v>0</v>
      </c>
      <c r="M344" s="4" t="s">
        <v>299</v>
      </c>
      <c r="N344" s="4">
        <f>SUMIF(Clean_sheet!C341:C840,client_formula_data!M344,Clean_sheet!K341:K840)</f>
        <v>2696</v>
      </c>
    </row>
    <row r="345" spans="6:14" x14ac:dyDescent="0.25">
      <c r="F345" s="5" t="s">
        <v>177</v>
      </c>
      <c r="G345" s="5">
        <f>_xlfn.XLOOKUP(F345,Product_Master!$A$2:$A$26,Product_Master!$C$2:$C$26)</f>
        <v>299</v>
      </c>
      <c r="H345" s="5" t="str">
        <f>_xlfn.XLOOKUP(F345,Product_Master!$A$2:$A$26,Product_Master!$D$2:$D$26)</f>
        <v>Low</v>
      </c>
      <c r="J345" s="4" t="s">
        <v>224</v>
      </c>
      <c r="K345" s="4">
        <v>0</v>
      </c>
      <c r="M345" s="4" t="s">
        <v>224</v>
      </c>
      <c r="N345" s="4">
        <f>SUMIF(Clean_sheet!C342:C841,client_formula_data!M345,Clean_sheet!K342:K841)</f>
        <v>13936</v>
      </c>
    </row>
    <row r="346" spans="6:14" x14ac:dyDescent="0.25">
      <c r="F346" s="5" t="s">
        <v>21</v>
      </c>
      <c r="G346" s="5">
        <f>_xlfn.XLOOKUP(F346,Product_Master!$A$2:$A$26,Product_Master!$C$2:$C$26)</f>
        <v>1499</v>
      </c>
      <c r="H346" s="5" t="str">
        <f>_xlfn.XLOOKUP(F346,Product_Master!$A$2:$A$26,Product_Master!$D$2:$D$26)</f>
        <v>Low</v>
      </c>
      <c r="J346" s="4" t="s">
        <v>110</v>
      </c>
      <c r="K346" s="4">
        <v>0</v>
      </c>
      <c r="M346" s="4" t="s">
        <v>110</v>
      </c>
      <c r="N346" s="4">
        <f>SUMIF(Clean_sheet!C343:C842,client_formula_data!M346,Clean_sheet!K343:K842)</f>
        <v>9995</v>
      </c>
    </row>
    <row r="347" spans="6:14" x14ac:dyDescent="0.25">
      <c r="F347" s="5" t="s">
        <v>102</v>
      </c>
      <c r="G347" s="5">
        <f>_xlfn.XLOOKUP(F347,Product_Master!$A$2:$A$26,Product_Master!$C$2:$C$26)</f>
        <v>499</v>
      </c>
      <c r="H347" s="5" t="str">
        <f>_xlfn.XLOOKUP(F347,Product_Master!$A$2:$A$26,Product_Master!$D$2:$D$26)</f>
        <v>Medium</v>
      </c>
      <c r="J347" s="4" t="s">
        <v>155</v>
      </c>
      <c r="K347" s="4">
        <v>0</v>
      </c>
      <c r="M347" s="4" t="s">
        <v>155</v>
      </c>
      <c r="N347" s="4">
        <f>SUMIF(Clean_sheet!C344:C843,client_formula_data!M347,Clean_sheet!K344:K843)</f>
        <v>6289</v>
      </c>
    </row>
    <row r="348" spans="6:14" x14ac:dyDescent="0.25">
      <c r="F348" s="5" t="s">
        <v>73</v>
      </c>
      <c r="G348" s="5">
        <f>_xlfn.XLOOKUP(F348,Product_Master!$A$2:$A$26,Product_Master!$C$2:$C$26)</f>
        <v>1499</v>
      </c>
      <c r="H348" s="5" t="str">
        <f>_xlfn.XLOOKUP(F348,Product_Master!$A$2:$A$26,Product_Master!$D$2:$D$26)</f>
        <v>Medium</v>
      </c>
      <c r="J348" s="4" t="s">
        <v>414</v>
      </c>
      <c r="K348" s="4">
        <v>0</v>
      </c>
      <c r="M348" s="4" t="s">
        <v>414</v>
      </c>
      <c r="N348" s="4">
        <f>SUMIF(Clean_sheet!C345:C844,client_formula_data!M348,Clean_sheet!K345:K844)</f>
        <v>5394</v>
      </c>
    </row>
    <row r="349" spans="6:14" x14ac:dyDescent="0.25">
      <c r="F349" s="5" t="s">
        <v>45</v>
      </c>
      <c r="G349" s="5">
        <f>_xlfn.XLOOKUP(F349,Product_Master!$A$2:$A$26,Product_Master!$C$2:$C$26)</f>
        <v>249</v>
      </c>
      <c r="H349" s="5" t="str">
        <f>_xlfn.XLOOKUP(F349,Product_Master!$A$2:$A$26,Product_Master!$D$2:$D$26)</f>
        <v>High</v>
      </c>
      <c r="J349" s="4" t="s">
        <v>107</v>
      </c>
      <c r="K349" s="4">
        <v>0</v>
      </c>
      <c r="M349" s="4" t="s">
        <v>107</v>
      </c>
      <c r="N349" s="4">
        <f>SUMIF(Clean_sheet!C346:C845,client_formula_data!M349,Clean_sheet!K346:K845)</f>
        <v>2994</v>
      </c>
    </row>
    <row r="350" spans="6:14" x14ac:dyDescent="0.25">
      <c r="F350" s="5" t="s">
        <v>156</v>
      </c>
      <c r="G350" s="5">
        <f>_xlfn.XLOOKUP(F350,Product_Master!$A$2:$A$26,Product_Master!$C$2:$C$26)</f>
        <v>599</v>
      </c>
      <c r="H350" s="5" t="str">
        <f>_xlfn.XLOOKUP(F350,Product_Master!$A$2:$A$26,Product_Master!$D$2:$D$26)</f>
        <v>High</v>
      </c>
      <c r="J350" s="4" t="s">
        <v>75</v>
      </c>
      <c r="K350" s="4">
        <v>0</v>
      </c>
      <c r="M350" s="4" t="s">
        <v>75</v>
      </c>
      <c r="N350" s="4">
        <f>SUMIF(Clean_sheet!C347:C846,client_formula_data!M350,Clean_sheet!K347:K846)</f>
        <v>13683</v>
      </c>
    </row>
    <row r="351" spans="6:14" x14ac:dyDescent="0.25">
      <c r="F351" s="5" t="s">
        <v>171</v>
      </c>
      <c r="G351" s="5">
        <f>_xlfn.XLOOKUP(F351,Product_Master!$A$2:$A$26,Product_Master!$C$2:$C$26)</f>
        <v>299</v>
      </c>
      <c r="H351" s="5" t="str">
        <f>_xlfn.XLOOKUP(F351,Product_Master!$A$2:$A$26,Product_Master!$D$2:$D$26)</f>
        <v>High</v>
      </c>
      <c r="J351" s="4" t="s">
        <v>129</v>
      </c>
      <c r="K351" s="4">
        <v>0</v>
      </c>
      <c r="M351" s="4" t="s">
        <v>129</v>
      </c>
      <c r="N351" s="4">
        <f>SUMIF(Clean_sheet!C348:C847,client_formula_data!M351,Clean_sheet!K348:K847)</f>
        <v>3192</v>
      </c>
    </row>
    <row r="352" spans="6:14" x14ac:dyDescent="0.25">
      <c r="F352" s="5" t="s">
        <v>102</v>
      </c>
      <c r="G352" s="5">
        <f>_xlfn.XLOOKUP(F352,Product_Master!$A$2:$A$26,Product_Master!$C$2:$C$26)</f>
        <v>499</v>
      </c>
      <c r="H352" s="5" t="str">
        <f>_xlfn.XLOOKUP(F352,Product_Master!$A$2:$A$26,Product_Master!$D$2:$D$26)</f>
        <v>Medium</v>
      </c>
      <c r="J352" s="4" t="s">
        <v>229</v>
      </c>
      <c r="K352" s="4">
        <v>0</v>
      </c>
      <c r="M352" s="4" t="s">
        <v>229</v>
      </c>
      <c r="N352" s="4">
        <f>SUMIF(Clean_sheet!C349:C848,client_formula_data!M352,Clean_sheet!K349:K848)</f>
        <v>498</v>
      </c>
    </row>
    <row r="353" spans="6:14" x14ac:dyDescent="0.25">
      <c r="F353" s="5" t="s">
        <v>140</v>
      </c>
      <c r="G353" s="5">
        <f>_xlfn.XLOOKUP(F353,Product_Master!$A$2:$A$26,Product_Master!$C$2:$C$26)</f>
        <v>499</v>
      </c>
      <c r="H353" s="5" t="str">
        <f>_xlfn.XLOOKUP(F353,Product_Master!$A$2:$A$26,Product_Master!$D$2:$D$26)</f>
        <v>Medium</v>
      </c>
      <c r="J353" s="4" t="s">
        <v>182</v>
      </c>
      <c r="K353" s="4">
        <v>0</v>
      </c>
      <c r="M353" s="4" t="s">
        <v>182</v>
      </c>
      <c r="N353" s="4">
        <f>SUMIF(Clean_sheet!C350:C849,client_formula_data!M353,Clean_sheet!K350:K849)</f>
        <v>7497</v>
      </c>
    </row>
    <row r="354" spans="6:14" x14ac:dyDescent="0.25">
      <c r="F354" s="5" t="s">
        <v>52</v>
      </c>
      <c r="G354" s="5">
        <f>_xlfn.XLOOKUP(F354,Product_Master!$A$2:$A$26,Product_Master!$C$2:$C$26)</f>
        <v>299</v>
      </c>
      <c r="H354" s="5" t="str">
        <f>_xlfn.XLOOKUP(F354,Product_Master!$A$2:$A$26,Product_Master!$D$2:$D$26)</f>
        <v>Medium</v>
      </c>
      <c r="J354" s="4" t="s">
        <v>17</v>
      </c>
      <c r="K354" s="4">
        <v>0</v>
      </c>
      <c r="M354" s="4" t="s">
        <v>17</v>
      </c>
      <c r="N354" s="4">
        <f>SUMIF(Clean_sheet!C351:C850,client_formula_data!M354,Clean_sheet!K351:K850)</f>
        <v>10184</v>
      </c>
    </row>
    <row r="355" spans="6:14" x14ac:dyDescent="0.25">
      <c r="F355" s="5" t="s">
        <v>133</v>
      </c>
      <c r="G355" s="5">
        <f>_xlfn.XLOOKUP(F355,Product_Master!$A$2:$A$26,Product_Master!$C$2:$C$26)</f>
        <v>249</v>
      </c>
      <c r="H355" s="5" t="str">
        <f>_xlfn.XLOOKUP(F355,Product_Master!$A$2:$A$26,Product_Master!$D$2:$D$26)</f>
        <v>High</v>
      </c>
      <c r="J355" s="4" t="s">
        <v>147</v>
      </c>
      <c r="K355" s="4">
        <v>0</v>
      </c>
      <c r="M355" s="4" t="s">
        <v>147</v>
      </c>
      <c r="N355" s="4">
        <f>SUMIF(Clean_sheet!C352:C851,client_formula_data!M355,Clean_sheet!K352:K851)</f>
        <v>10394</v>
      </c>
    </row>
    <row r="356" spans="6:14" x14ac:dyDescent="0.25">
      <c r="F356" s="5" t="s">
        <v>140</v>
      </c>
      <c r="G356" s="5">
        <f>_xlfn.XLOOKUP(F356,Product_Master!$A$2:$A$26,Product_Master!$C$2:$C$26)</f>
        <v>499</v>
      </c>
      <c r="H356" s="5" t="str">
        <f>_xlfn.XLOOKUP(F356,Product_Master!$A$2:$A$26,Product_Master!$D$2:$D$26)</f>
        <v>Medium</v>
      </c>
      <c r="J356" s="4" t="s">
        <v>155</v>
      </c>
      <c r="K356" s="4">
        <v>0</v>
      </c>
      <c r="M356" s="4" t="s">
        <v>155</v>
      </c>
      <c r="N356" s="4">
        <f>SUMIF(Clean_sheet!C353:C852,client_formula_data!M356,Clean_sheet!K353:K852)</f>
        <v>3892</v>
      </c>
    </row>
    <row r="357" spans="6:14" x14ac:dyDescent="0.25">
      <c r="F357" s="5" t="s">
        <v>52</v>
      </c>
      <c r="G357" s="5">
        <f>_xlfn.XLOOKUP(F357,Product_Master!$A$2:$A$26,Product_Master!$C$2:$C$26)</f>
        <v>299</v>
      </c>
      <c r="H357" s="5" t="str">
        <f>_xlfn.XLOOKUP(F357,Product_Master!$A$2:$A$26,Product_Master!$D$2:$D$26)</f>
        <v>Medium</v>
      </c>
      <c r="J357" s="4" t="s">
        <v>75</v>
      </c>
      <c r="K357" s="4">
        <v>0</v>
      </c>
      <c r="M357" s="4" t="s">
        <v>75</v>
      </c>
      <c r="N357" s="4">
        <f>SUMIF(Clean_sheet!C354:C853,client_formula_data!M357,Clean_sheet!K354:K853)</f>
        <v>11684</v>
      </c>
    </row>
    <row r="358" spans="6:14" x14ac:dyDescent="0.25">
      <c r="F358" s="5" t="s">
        <v>94</v>
      </c>
      <c r="G358" s="5">
        <f>_xlfn.XLOOKUP(F358,Product_Master!$A$2:$A$26,Product_Master!$C$2:$C$26)</f>
        <v>999</v>
      </c>
      <c r="H358" s="5" t="str">
        <f>_xlfn.XLOOKUP(F358,Product_Master!$A$2:$A$26,Product_Master!$D$2:$D$26)</f>
        <v>Medium</v>
      </c>
      <c r="J358" s="4" t="s">
        <v>72</v>
      </c>
      <c r="K358" s="4">
        <v>0</v>
      </c>
      <c r="M358" s="4" t="s">
        <v>72</v>
      </c>
      <c r="N358" s="4">
        <f>SUMIF(Clean_sheet!C355:C854,client_formula_data!M358,Clean_sheet!K355:K854)</f>
        <v>1897</v>
      </c>
    </row>
    <row r="359" spans="6:14" x14ac:dyDescent="0.25">
      <c r="F359" s="5" t="s">
        <v>69</v>
      </c>
      <c r="G359" s="5">
        <f>_xlfn.XLOOKUP(F359,Product_Master!$A$2:$A$26,Product_Master!$C$2:$C$26)</f>
        <v>499</v>
      </c>
      <c r="H359" s="5" t="str">
        <f>_xlfn.XLOOKUP(F359,Product_Master!$A$2:$A$26,Product_Master!$D$2:$D$26)</f>
        <v>Medium</v>
      </c>
      <c r="J359" s="4" t="s">
        <v>286</v>
      </c>
      <c r="K359" s="4">
        <v>0</v>
      </c>
      <c r="M359" s="4" t="s">
        <v>286</v>
      </c>
      <c r="N359" s="4">
        <f>SUMIF(Clean_sheet!C356:C855,client_formula_data!M359,Clean_sheet!K356:K855)</f>
        <v>2593</v>
      </c>
    </row>
    <row r="360" spans="6:14" x14ac:dyDescent="0.25">
      <c r="F360" s="5" t="s">
        <v>99</v>
      </c>
      <c r="G360" s="5">
        <f>_xlfn.XLOOKUP(F360,Product_Master!$A$2:$A$26,Product_Master!$C$2:$C$26)</f>
        <v>1499</v>
      </c>
      <c r="H360" s="5" t="str">
        <f>_xlfn.XLOOKUP(F360,Product_Master!$A$2:$A$26,Product_Master!$D$2:$D$26)</f>
        <v>Low</v>
      </c>
      <c r="J360" s="4" t="s">
        <v>270</v>
      </c>
      <c r="K360" s="4">
        <v>0</v>
      </c>
      <c r="M360" s="4" t="s">
        <v>270</v>
      </c>
      <c r="N360" s="4">
        <f>SUMIF(Clean_sheet!C357:C856,client_formula_data!M360,Clean_sheet!K357:K856)</f>
        <v>498</v>
      </c>
    </row>
    <row r="361" spans="6:14" x14ac:dyDescent="0.25">
      <c r="F361" s="5" t="s">
        <v>102</v>
      </c>
      <c r="G361" s="5">
        <f>_xlfn.XLOOKUP(F361,Product_Master!$A$2:$A$26,Product_Master!$C$2:$C$26)</f>
        <v>499</v>
      </c>
      <c r="H361" s="5" t="str">
        <f>_xlfn.XLOOKUP(F361,Product_Master!$A$2:$A$26,Product_Master!$D$2:$D$26)</f>
        <v>Medium</v>
      </c>
      <c r="J361" s="4" t="s">
        <v>75</v>
      </c>
      <c r="K361" s="4">
        <v>0</v>
      </c>
      <c r="M361" s="4" t="s">
        <v>75</v>
      </c>
      <c r="N361" s="4">
        <f>SUMIF(Clean_sheet!C358:C857,client_formula_data!M361,Clean_sheet!K358:K857)</f>
        <v>8488</v>
      </c>
    </row>
    <row r="362" spans="6:14" x14ac:dyDescent="0.25">
      <c r="F362" s="5" t="s">
        <v>171</v>
      </c>
      <c r="G362" s="5">
        <f>_xlfn.XLOOKUP(F362,Product_Master!$A$2:$A$26,Product_Master!$C$2:$C$26)</f>
        <v>299</v>
      </c>
      <c r="H362" s="5" t="str">
        <f>_xlfn.XLOOKUP(F362,Product_Master!$A$2:$A$26,Product_Master!$D$2:$D$26)</f>
        <v>High</v>
      </c>
      <c r="J362" s="4" t="s">
        <v>97</v>
      </c>
      <c r="K362" s="4">
        <v>0</v>
      </c>
      <c r="M362" s="4" t="s">
        <v>97</v>
      </c>
      <c r="N362" s="4">
        <f>SUMIF(Clean_sheet!C359:C858,client_formula_data!M362,Clean_sheet!K359:K858)</f>
        <v>22081</v>
      </c>
    </row>
    <row r="363" spans="6:14" x14ac:dyDescent="0.25">
      <c r="F363" s="5" t="s">
        <v>171</v>
      </c>
      <c r="G363" s="5">
        <f>_xlfn.XLOOKUP(F363,Product_Master!$A$2:$A$26,Product_Master!$C$2:$C$26)</f>
        <v>299</v>
      </c>
      <c r="H363" s="5" t="str">
        <f>_xlfn.XLOOKUP(F363,Product_Master!$A$2:$A$26,Product_Master!$D$2:$D$26)</f>
        <v>High</v>
      </c>
      <c r="J363" s="4" t="s">
        <v>188</v>
      </c>
      <c r="K363" s="4">
        <v>0</v>
      </c>
      <c r="M363" s="4" t="s">
        <v>188</v>
      </c>
      <c r="N363" s="4">
        <f>SUMIF(Clean_sheet!C360:C859,client_formula_data!M363,Clean_sheet!K360:K859)</f>
        <v>11791</v>
      </c>
    </row>
    <row r="364" spans="6:14" x14ac:dyDescent="0.25">
      <c r="F364" s="5" t="s">
        <v>151</v>
      </c>
      <c r="G364" s="5">
        <f>_xlfn.XLOOKUP(F364,Product_Master!$A$2:$A$26,Product_Master!$C$2:$C$26)</f>
        <v>1299</v>
      </c>
      <c r="H364" s="5" t="str">
        <f>_xlfn.XLOOKUP(F364,Product_Master!$A$2:$A$26,Product_Master!$D$2:$D$26)</f>
        <v>Medium</v>
      </c>
      <c r="J364" s="4" t="s">
        <v>257</v>
      </c>
      <c r="K364" s="4">
        <v>0</v>
      </c>
      <c r="M364" s="4" t="s">
        <v>257</v>
      </c>
      <c r="N364" s="4">
        <f>SUMIF(Clean_sheet!C361:C860,client_formula_data!M364,Clean_sheet!K361:K860)</f>
        <v>22184</v>
      </c>
    </row>
    <row r="365" spans="6:14" x14ac:dyDescent="0.25">
      <c r="F365" s="5" t="s">
        <v>156</v>
      </c>
      <c r="G365" s="5">
        <f>_xlfn.XLOOKUP(F365,Product_Master!$A$2:$A$26,Product_Master!$C$2:$C$26)</f>
        <v>599</v>
      </c>
      <c r="H365" s="5" t="str">
        <f>_xlfn.XLOOKUP(F365,Product_Master!$A$2:$A$26,Product_Master!$D$2:$D$26)</f>
        <v>High</v>
      </c>
      <c r="J365" s="4" t="s">
        <v>123</v>
      </c>
      <c r="K365" s="4">
        <v>0</v>
      </c>
      <c r="M365" s="4" t="s">
        <v>123</v>
      </c>
      <c r="N365" s="4">
        <f>SUMIF(Clean_sheet!C362:C861,client_formula_data!M365,Clean_sheet!K362:K861)</f>
        <v>499</v>
      </c>
    </row>
    <row r="366" spans="6:14" x14ac:dyDescent="0.25">
      <c r="F366" s="5" t="s">
        <v>52</v>
      </c>
      <c r="G366" s="5">
        <f>_xlfn.XLOOKUP(F366,Product_Master!$A$2:$A$26,Product_Master!$C$2:$C$26)</f>
        <v>299</v>
      </c>
      <c r="H366" s="5" t="str">
        <f>_xlfn.XLOOKUP(F366,Product_Master!$A$2:$A$26,Product_Master!$D$2:$D$26)</f>
        <v>Medium</v>
      </c>
      <c r="J366" s="4" t="s">
        <v>280</v>
      </c>
      <c r="K366" s="4">
        <v>0</v>
      </c>
      <c r="M366" s="4" t="s">
        <v>280</v>
      </c>
      <c r="N366" s="4">
        <f>SUMIF(Clean_sheet!C363:C862,client_formula_data!M366,Clean_sheet!K363:K862)</f>
        <v>3996</v>
      </c>
    </row>
    <row r="367" spans="6:14" x14ac:dyDescent="0.25">
      <c r="F367" s="5" t="s">
        <v>77</v>
      </c>
      <c r="G367" s="5">
        <f>_xlfn.XLOOKUP(F367,Product_Master!$A$2:$A$26,Product_Master!$C$2:$C$26)</f>
        <v>999</v>
      </c>
      <c r="H367" s="5" t="str">
        <f>_xlfn.XLOOKUP(F367,Product_Master!$A$2:$A$26,Product_Master!$D$2:$D$26)</f>
        <v>High</v>
      </c>
      <c r="J367" s="4" t="s">
        <v>218</v>
      </c>
      <c r="K367" s="4">
        <v>0</v>
      </c>
      <c r="M367" s="4" t="s">
        <v>218</v>
      </c>
      <c r="N367" s="4">
        <f>SUMIF(Clean_sheet!C364:C863,client_formula_data!M367,Clean_sheet!K364:K863)</f>
        <v>6993</v>
      </c>
    </row>
    <row r="368" spans="6:14" x14ac:dyDescent="0.25">
      <c r="F368" s="5" t="s">
        <v>73</v>
      </c>
      <c r="G368" s="5">
        <f>_xlfn.XLOOKUP(F368,Product_Master!$A$2:$A$26,Product_Master!$C$2:$C$26)</f>
        <v>1499</v>
      </c>
      <c r="H368" s="5" t="str">
        <f>_xlfn.XLOOKUP(F368,Product_Master!$A$2:$A$26,Product_Master!$D$2:$D$26)</f>
        <v>Medium</v>
      </c>
      <c r="J368" s="4" t="s">
        <v>116</v>
      </c>
      <c r="K368" s="4">
        <v>0</v>
      </c>
      <c r="M368" s="4" t="s">
        <v>116</v>
      </c>
      <c r="N368" s="4">
        <f>SUMIF(Clean_sheet!C365:C864,client_formula_data!M368,Clean_sheet!K365:K864)</f>
        <v>249</v>
      </c>
    </row>
    <row r="369" spans="6:14" x14ac:dyDescent="0.25">
      <c r="F369" s="5" t="s">
        <v>73</v>
      </c>
      <c r="G369" s="5">
        <f>_xlfn.XLOOKUP(F369,Product_Master!$A$2:$A$26,Product_Master!$C$2:$C$26)</f>
        <v>1499</v>
      </c>
      <c r="H369" s="5" t="str">
        <f>_xlfn.XLOOKUP(F369,Product_Master!$A$2:$A$26,Product_Master!$D$2:$D$26)</f>
        <v>Medium</v>
      </c>
      <c r="J369" s="4" t="s">
        <v>370</v>
      </c>
      <c r="K369" s="4">
        <v>0</v>
      </c>
      <c r="M369" s="4" t="s">
        <v>370</v>
      </c>
      <c r="N369" s="4">
        <f>SUMIF(Clean_sheet!C366:C865,client_formula_data!M369,Clean_sheet!K366:K865)</f>
        <v>897</v>
      </c>
    </row>
    <row r="370" spans="6:14" x14ac:dyDescent="0.25">
      <c r="F370" s="5" t="s">
        <v>151</v>
      </c>
      <c r="G370" s="5">
        <f>_xlfn.XLOOKUP(F370,Product_Master!$A$2:$A$26,Product_Master!$C$2:$C$26)</f>
        <v>1299</v>
      </c>
      <c r="H370" s="5" t="str">
        <f>_xlfn.XLOOKUP(F370,Product_Master!$A$2:$A$26,Product_Master!$D$2:$D$26)</f>
        <v>Medium</v>
      </c>
      <c r="J370" s="4" t="s">
        <v>329</v>
      </c>
      <c r="K370" s="4">
        <v>0</v>
      </c>
      <c r="M370" s="4" t="s">
        <v>329</v>
      </c>
      <c r="N370" s="4">
        <f>SUMIF(Clean_sheet!C367:C866,client_formula_data!M370,Clean_sheet!K367:K866)</f>
        <v>8491</v>
      </c>
    </row>
    <row r="371" spans="6:14" x14ac:dyDescent="0.25">
      <c r="F371" s="5" t="s">
        <v>73</v>
      </c>
      <c r="G371" s="5">
        <f>_xlfn.XLOOKUP(F371,Product_Master!$A$2:$A$26,Product_Master!$C$2:$C$26)</f>
        <v>1499</v>
      </c>
      <c r="H371" s="5" t="str">
        <f>_xlfn.XLOOKUP(F371,Product_Master!$A$2:$A$26,Product_Master!$D$2:$D$26)</f>
        <v>Medium</v>
      </c>
      <c r="J371" s="4" t="s">
        <v>107</v>
      </c>
      <c r="K371" s="4">
        <v>0</v>
      </c>
      <c r="M371" s="4" t="s">
        <v>107</v>
      </c>
      <c r="N371" s="4">
        <f>SUMIF(Clean_sheet!C368:C867,client_formula_data!M371,Clean_sheet!K368:K867)</f>
        <v>996</v>
      </c>
    </row>
    <row r="372" spans="6:14" x14ac:dyDescent="0.25">
      <c r="F372" s="5" t="s">
        <v>73</v>
      </c>
      <c r="G372" s="5">
        <f>_xlfn.XLOOKUP(F372,Product_Master!$A$2:$A$26,Product_Master!$C$2:$C$26)</f>
        <v>1499</v>
      </c>
      <c r="H372" s="5" t="str">
        <f>_xlfn.XLOOKUP(F372,Product_Master!$A$2:$A$26,Product_Master!$D$2:$D$26)</f>
        <v>Medium</v>
      </c>
      <c r="J372" s="4" t="s">
        <v>313</v>
      </c>
      <c r="K372" s="4">
        <v>0</v>
      </c>
      <c r="M372" s="4" t="s">
        <v>313</v>
      </c>
      <c r="N372" s="4">
        <f>SUMIF(Clean_sheet!C369:C868,client_formula_data!M372,Clean_sheet!K369:K868)</f>
        <v>2195</v>
      </c>
    </row>
    <row r="373" spans="6:14" x14ac:dyDescent="0.25">
      <c r="F373" s="5" t="s">
        <v>200</v>
      </c>
      <c r="G373" s="5">
        <f>_xlfn.XLOOKUP(F373,Product_Master!$A$2:$A$26,Product_Master!$C$2:$C$26)</f>
        <v>1299</v>
      </c>
      <c r="H373" s="5" t="str">
        <f>_xlfn.XLOOKUP(F373,Product_Master!$A$2:$A$26,Product_Master!$D$2:$D$26)</f>
        <v>High</v>
      </c>
      <c r="J373" s="4" t="s">
        <v>266</v>
      </c>
      <c r="K373" s="4">
        <v>0</v>
      </c>
      <c r="M373" s="4" t="s">
        <v>266</v>
      </c>
      <c r="N373" s="4">
        <f>SUMIF(Clean_sheet!C370:C869,client_formula_data!M373,Clean_sheet!K370:K869)</f>
        <v>6591</v>
      </c>
    </row>
    <row r="374" spans="6:14" x14ac:dyDescent="0.25">
      <c r="F374" s="5" t="s">
        <v>200</v>
      </c>
      <c r="G374" s="5">
        <f>_xlfn.XLOOKUP(F374,Product_Master!$A$2:$A$26,Product_Master!$C$2:$C$26)</f>
        <v>1299</v>
      </c>
      <c r="H374" s="5" t="str">
        <f>_xlfn.XLOOKUP(F374,Product_Master!$A$2:$A$26,Product_Master!$D$2:$D$26)</f>
        <v>High</v>
      </c>
      <c r="J374" s="4" t="s">
        <v>88</v>
      </c>
      <c r="K374" s="4">
        <v>0</v>
      </c>
      <c r="M374" s="4" t="s">
        <v>88</v>
      </c>
      <c r="N374" s="4">
        <f>SUMIF(Clean_sheet!C371:C870,client_formula_data!M374,Clean_sheet!K371:K870)</f>
        <v>2095</v>
      </c>
    </row>
    <row r="375" spans="6:14" x14ac:dyDescent="0.25">
      <c r="F375" s="5" t="s">
        <v>171</v>
      </c>
      <c r="G375" s="5">
        <f>_xlfn.XLOOKUP(F375,Product_Master!$A$2:$A$26,Product_Master!$C$2:$C$26)</f>
        <v>299</v>
      </c>
      <c r="H375" s="5" t="str">
        <f>_xlfn.XLOOKUP(F375,Product_Master!$A$2:$A$26,Product_Master!$D$2:$D$26)</f>
        <v>High</v>
      </c>
      <c r="J375" s="4" t="s">
        <v>159</v>
      </c>
      <c r="K375" s="4">
        <v>0</v>
      </c>
      <c r="M375" s="4" t="s">
        <v>159</v>
      </c>
      <c r="N375" s="4">
        <f>SUMIF(Clean_sheet!C372:C871,client_formula_data!M375,Clean_sheet!K372:K871)</f>
        <v>5996</v>
      </c>
    </row>
    <row r="376" spans="6:14" x14ac:dyDescent="0.25">
      <c r="F376" s="5" t="s">
        <v>355</v>
      </c>
      <c r="G376" s="5">
        <f>_xlfn.XLOOKUP(F376,Product_Master!$A$2:$A$26,Product_Master!$C$2:$C$26)</f>
        <v>2499</v>
      </c>
      <c r="H376" s="5" t="str">
        <f>_xlfn.XLOOKUP(F376,Product_Master!$A$2:$A$26,Product_Master!$D$2:$D$26)</f>
        <v>Medium</v>
      </c>
      <c r="J376" s="4" t="s">
        <v>350</v>
      </c>
      <c r="K376" s="4">
        <v>0</v>
      </c>
      <c r="M376" s="4" t="s">
        <v>350</v>
      </c>
      <c r="N376" s="4">
        <f>SUMIF(Clean_sheet!C373:C872,client_formula_data!M376,Clean_sheet!K373:K872)</f>
        <v>995</v>
      </c>
    </row>
    <row r="377" spans="6:14" x14ac:dyDescent="0.25">
      <c r="F377" s="5" t="s">
        <v>52</v>
      </c>
      <c r="G377" s="5">
        <f>_xlfn.XLOOKUP(F377,Product_Master!$A$2:$A$26,Product_Master!$C$2:$C$26)</f>
        <v>299</v>
      </c>
      <c r="H377" s="5" t="str">
        <f>_xlfn.XLOOKUP(F377,Product_Master!$A$2:$A$26,Product_Master!$D$2:$D$26)</f>
        <v>Medium</v>
      </c>
      <c r="J377" s="4" t="s">
        <v>139</v>
      </c>
      <c r="K377" s="4">
        <v>0</v>
      </c>
      <c r="M377" s="4" t="s">
        <v>139</v>
      </c>
      <c r="N377" s="4">
        <f>SUMIF(Clean_sheet!C374:C873,client_formula_data!M377,Clean_sheet!K374:K873)</f>
        <v>9990</v>
      </c>
    </row>
    <row r="378" spans="6:14" x14ac:dyDescent="0.25">
      <c r="F378" s="5" t="s">
        <v>133</v>
      </c>
      <c r="G378" s="5">
        <f>_xlfn.XLOOKUP(F378,Product_Master!$A$2:$A$26,Product_Master!$C$2:$C$26)</f>
        <v>249</v>
      </c>
      <c r="H378" s="5" t="str">
        <f>_xlfn.XLOOKUP(F378,Product_Master!$A$2:$A$26,Product_Master!$D$2:$D$26)</f>
        <v>High</v>
      </c>
      <c r="J378" s="4" t="s">
        <v>288</v>
      </c>
      <c r="K378" s="4">
        <v>0</v>
      </c>
      <c r="M378" s="4" t="s">
        <v>288</v>
      </c>
      <c r="N378" s="4">
        <f>SUMIF(Clean_sheet!C375:C874,client_formula_data!M378,Clean_sheet!K375:K874)</f>
        <v>2395</v>
      </c>
    </row>
    <row r="379" spans="6:14" x14ac:dyDescent="0.25">
      <c r="F379" s="5" t="s">
        <v>200</v>
      </c>
      <c r="G379" s="5">
        <f>_xlfn.XLOOKUP(F379,Product_Master!$A$2:$A$26,Product_Master!$C$2:$C$26)</f>
        <v>1299</v>
      </c>
      <c r="H379" s="5" t="str">
        <f>_xlfn.XLOOKUP(F379,Product_Master!$A$2:$A$26,Product_Master!$D$2:$D$26)</f>
        <v>High</v>
      </c>
      <c r="J379" s="4" t="s">
        <v>255</v>
      </c>
      <c r="K379" s="4">
        <v>0</v>
      </c>
      <c r="M379" s="4" t="s">
        <v>255</v>
      </c>
      <c r="N379" s="4">
        <f>SUMIF(Clean_sheet!C376:C875,client_formula_data!M379,Clean_sheet!K376:K875)</f>
        <v>9294</v>
      </c>
    </row>
    <row r="380" spans="6:14" x14ac:dyDescent="0.25">
      <c r="F380" s="5" t="s">
        <v>140</v>
      </c>
      <c r="G380" s="5">
        <f>_xlfn.XLOOKUP(F380,Product_Master!$A$2:$A$26,Product_Master!$C$2:$C$26)</f>
        <v>499</v>
      </c>
      <c r="H380" s="5" t="str">
        <f>_xlfn.XLOOKUP(F380,Product_Master!$A$2:$A$26,Product_Master!$D$2:$D$26)</f>
        <v>Medium</v>
      </c>
      <c r="J380" s="4" t="s">
        <v>288</v>
      </c>
      <c r="K380" s="4">
        <v>0</v>
      </c>
      <c r="M380" s="4" t="s">
        <v>288</v>
      </c>
      <c r="N380" s="4">
        <f>SUMIF(Clean_sheet!C377:C876,client_formula_data!M380,Clean_sheet!K377:K876)</f>
        <v>598</v>
      </c>
    </row>
    <row r="381" spans="6:14" x14ac:dyDescent="0.25">
      <c r="F381" s="5" t="s">
        <v>120</v>
      </c>
      <c r="G381" s="5">
        <f>_xlfn.XLOOKUP(F381,Product_Master!$A$2:$A$26,Product_Master!$C$2:$C$26)</f>
        <v>299</v>
      </c>
      <c r="H381" s="5" t="str">
        <f>_xlfn.XLOOKUP(F381,Product_Master!$A$2:$A$26,Product_Master!$D$2:$D$26)</f>
        <v>Medium</v>
      </c>
      <c r="J381" s="4" t="s">
        <v>105</v>
      </c>
      <c r="K381" s="4">
        <v>0</v>
      </c>
      <c r="M381" s="4" t="s">
        <v>105</v>
      </c>
      <c r="N381" s="4">
        <f>SUMIF(Clean_sheet!C378:C877,client_formula_data!M381,Clean_sheet!K378:K877)</f>
        <v>3695</v>
      </c>
    </row>
    <row r="382" spans="6:14" x14ac:dyDescent="0.25">
      <c r="F382" s="5" t="s">
        <v>151</v>
      </c>
      <c r="G382" s="5">
        <f>_xlfn.XLOOKUP(F382,Product_Master!$A$2:$A$26,Product_Master!$C$2:$C$26)</f>
        <v>1299</v>
      </c>
      <c r="H382" s="5" t="str">
        <f>_xlfn.XLOOKUP(F382,Product_Master!$A$2:$A$26,Product_Master!$D$2:$D$26)</f>
        <v>Medium</v>
      </c>
      <c r="J382" s="4" t="s">
        <v>366</v>
      </c>
      <c r="K382" s="4">
        <v>0</v>
      </c>
      <c r="M382" s="4" t="s">
        <v>366</v>
      </c>
      <c r="N382" s="4">
        <f>SUMIF(Clean_sheet!C379:C878,client_formula_data!M382,Clean_sheet!K379:K878)</f>
        <v>6490</v>
      </c>
    </row>
    <row r="383" spans="6:14" x14ac:dyDescent="0.25">
      <c r="F383" s="5" t="s">
        <v>151</v>
      </c>
      <c r="G383" s="5">
        <f>_xlfn.XLOOKUP(F383,Product_Master!$A$2:$A$26,Product_Master!$C$2:$C$26)</f>
        <v>1299</v>
      </c>
      <c r="H383" s="5" t="str">
        <f>_xlfn.XLOOKUP(F383,Product_Master!$A$2:$A$26,Product_Master!$D$2:$D$26)</f>
        <v>Medium</v>
      </c>
      <c r="J383" s="4" t="s">
        <v>272</v>
      </c>
      <c r="K383" s="4">
        <v>0</v>
      </c>
      <c r="M383" s="4" t="s">
        <v>272</v>
      </c>
      <c r="N383" s="4">
        <f>SUMIF(Clean_sheet!C380:C879,client_formula_data!M383,Clean_sheet!K380:K879)</f>
        <v>24076</v>
      </c>
    </row>
    <row r="384" spans="6:14" x14ac:dyDescent="0.25">
      <c r="F384" s="5" t="s">
        <v>133</v>
      </c>
      <c r="G384" s="5">
        <f>_xlfn.XLOOKUP(F384,Product_Master!$A$2:$A$26,Product_Master!$C$2:$C$26)</f>
        <v>249</v>
      </c>
      <c r="H384" s="5" t="str">
        <f>_xlfn.XLOOKUP(F384,Product_Master!$A$2:$A$26,Product_Master!$D$2:$D$26)</f>
        <v>High</v>
      </c>
      <c r="J384" s="4" t="s">
        <v>272</v>
      </c>
      <c r="K384" s="4">
        <v>0</v>
      </c>
      <c r="M384" s="4" t="s">
        <v>272</v>
      </c>
      <c r="N384" s="4">
        <f>SUMIF(Clean_sheet!C381:C880,client_formula_data!M384,Clean_sheet!K381:K880)</f>
        <v>14080</v>
      </c>
    </row>
    <row r="385" spans="6:14" x14ac:dyDescent="0.25">
      <c r="F385" s="5" t="s">
        <v>69</v>
      </c>
      <c r="G385" s="5">
        <f>_xlfn.XLOOKUP(F385,Product_Master!$A$2:$A$26,Product_Master!$C$2:$C$26)</f>
        <v>499</v>
      </c>
      <c r="H385" s="5" t="str">
        <f>_xlfn.XLOOKUP(F385,Product_Master!$A$2:$A$26,Product_Master!$D$2:$D$26)</f>
        <v>Medium</v>
      </c>
      <c r="J385" s="4" t="s">
        <v>190</v>
      </c>
      <c r="K385" s="4">
        <v>0</v>
      </c>
      <c r="M385" s="4" t="s">
        <v>190</v>
      </c>
      <c r="N385" s="4">
        <f>SUMIF(Clean_sheet!C382:C881,client_formula_data!M385,Clean_sheet!K382:K881)</f>
        <v>6995</v>
      </c>
    </row>
    <row r="386" spans="6:14" x14ac:dyDescent="0.25">
      <c r="F386" s="5" t="s">
        <v>45</v>
      </c>
      <c r="G386" s="5">
        <f>_xlfn.XLOOKUP(F386,Product_Master!$A$2:$A$26,Product_Master!$C$2:$C$26)</f>
        <v>249</v>
      </c>
      <c r="H386" s="5" t="str">
        <f>_xlfn.XLOOKUP(F386,Product_Master!$A$2:$A$26,Product_Master!$D$2:$D$26)</f>
        <v>High</v>
      </c>
      <c r="J386" s="4" t="s">
        <v>75</v>
      </c>
      <c r="K386" s="4">
        <v>0</v>
      </c>
      <c r="M386" s="4" t="s">
        <v>75</v>
      </c>
      <c r="N386" s="4">
        <f>SUMIF(Clean_sheet!C383:C882,client_formula_data!M386,Clean_sheet!K383:K882)</f>
        <v>6091</v>
      </c>
    </row>
    <row r="387" spans="6:14" x14ac:dyDescent="0.25">
      <c r="F387" s="5" t="s">
        <v>21</v>
      </c>
      <c r="G387" s="5">
        <f>_xlfn.XLOOKUP(F387,Product_Master!$A$2:$A$26,Product_Master!$C$2:$C$26)</f>
        <v>1499</v>
      </c>
      <c r="H387" s="5" t="str">
        <f>_xlfn.XLOOKUP(F387,Product_Master!$A$2:$A$26,Product_Master!$D$2:$D$26)</f>
        <v>Low</v>
      </c>
      <c r="J387" s="4" t="s">
        <v>272</v>
      </c>
      <c r="K387" s="4">
        <v>0</v>
      </c>
      <c r="M387" s="4" t="s">
        <v>272</v>
      </c>
      <c r="N387" s="4">
        <f>SUMIF(Clean_sheet!C384:C883,client_formula_data!M387,Clean_sheet!K384:K883)</f>
        <v>10085</v>
      </c>
    </row>
    <row r="388" spans="6:14" x14ac:dyDescent="0.25">
      <c r="F388" s="5" t="s">
        <v>200</v>
      </c>
      <c r="G388" s="5">
        <f>_xlfn.XLOOKUP(F388,Product_Master!$A$2:$A$26,Product_Master!$C$2:$C$26)</f>
        <v>1299</v>
      </c>
      <c r="H388" s="5" t="str">
        <f>_xlfn.XLOOKUP(F388,Product_Master!$A$2:$A$26,Product_Master!$D$2:$D$26)</f>
        <v>High</v>
      </c>
      <c r="J388" s="4" t="s">
        <v>188</v>
      </c>
      <c r="K388" s="4">
        <v>0</v>
      </c>
      <c r="M388" s="4" t="s">
        <v>188</v>
      </c>
      <c r="N388" s="4">
        <f>SUMIF(Clean_sheet!C385:C884,client_formula_data!M388,Clean_sheet!K385:K884)</f>
        <v>1795</v>
      </c>
    </row>
    <row r="389" spans="6:14" x14ac:dyDescent="0.25">
      <c r="F389" s="5" t="s">
        <v>200</v>
      </c>
      <c r="G389" s="5">
        <f>_xlfn.XLOOKUP(F389,Product_Master!$A$2:$A$26,Product_Master!$C$2:$C$26)</f>
        <v>1299</v>
      </c>
      <c r="H389" s="5" t="str">
        <f>_xlfn.XLOOKUP(F389,Product_Master!$A$2:$A$26,Product_Master!$D$2:$D$26)</f>
        <v>High</v>
      </c>
      <c r="J389" s="4" t="s">
        <v>112</v>
      </c>
      <c r="K389" s="4">
        <v>0</v>
      </c>
      <c r="M389" s="4" t="s">
        <v>112</v>
      </c>
      <c r="N389" s="4">
        <f>SUMIF(Clean_sheet!C386:C885,client_formula_data!M389,Clean_sheet!K386:K885)</f>
        <v>3497</v>
      </c>
    </row>
    <row r="390" spans="6:14" x14ac:dyDescent="0.25">
      <c r="F390" s="5" t="s">
        <v>177</v>
      </c>
      <c r="G390" s="5">
        <f>_xlfn.XLOOKUP(F390,Product_Master!$A$2:$A$26,Product_Master!$C$2:$C$26)</f>
        <v>299</v>
      </c>
      <c r="H390" s="5" t="str">
        <f>_xlfn.XLOOKUP(F390,Product_Master!$A$2:$A$26,Product_Master!$D$2:$D$26)</f>
        <v>Low</v>
      </c>
      <c r="J390" s="4" t="s">
        <v>360</v>
      </c>
      <c r="K390" s="4">
        <v>0</v>
      </c>
      <c r="M390" s="4" t="s">
        <v>360</v>
      </c>
      <c r="N390" s="4">
        <f>SUMIF(Clean_sheet!C387:C886,client_formula_data!M390,Clean_sheet!K387:K886)</f>
        <v>7185</v>
      </c>
    </row>
    <row r="391" spans="6:14" x14ac:dyDescent="0.25">
      <c r="F391" s="5" t="s">
        <v>355</v>
      </c>
      <c r="G391" s="5">
        <f>_xlfn.XLOOKUP(F391,Product_Master!$A$2:$A$26,Product_Master!$C$2:$C$26)</f>
        <v>2499</v>
      </c>
      <c r="H391" s="5" t="str">
        <f>_xlfn.XLOOKUP(F391,Product_Master!$A$2:$A$26,Product_Master!$D$2:$D$26)</f>
        <v>Medium</v>
      </c>
      <c r="J391" s="4" t="s">
        <v>180</v>
      </c>
      <c r="K391" s="4">
        <v>0</v>
      </c>
      <c r="M391" s="4" t="s">
        <v>180</v>
      </c>
      <c r="N391" s="4">
        <f>SUMIF(Clean_sheet!C388:C887,client_formula_data!M391,Clean_sheet!K388:K887)</f>
        <v>5793</v>
      </c>
    </row>
    <row r="392" spans="6:14" x14ac:dyDescent="0.25">
      <c r="F392" s="5" t="s">
        <v>140</v>
      </c>
      <c r="G392" s="5">
        <f>_xlfn.XLOOKUP(F392,Product_Master!$A$2:$A$26,Product_Master!$C$2:$C$26)</f>
        <v>499</v>
      </c>
      <c r="H392" s="5" t="str">
        <f>_xlfn.XLOOKUP(F392,Product_Master!$A$2:$A$26,Product_Master!$D$2:$D$26)</f>
        <v>Medium</v>
      </c>
      <c r="J392" s="4" t="s">
        <v>272</v>
      </c>
      <c r="K392" s="4">
        <v>0</v>
      </c>
      <c r="M392" s="4" t="s">
        <v>272</v>
      </c>
      <c r="N392" s="4">
        <f>SUMIF(Clean_sheet!C389:C888,client_formula_data!M392,Clean_sheet!K389:K888)</f>
        <v>5588</v>
      </c>
    </row>
    <row r="393" spans="6:14" x14ac:dyDescent="0.25">
      <c r="F393" s="5" t="s">
        <v>99</v>
      </c>
      <c r="G393" s="5">
        <f>_xlfn.XLOOKUP(F393,Product_Master!$A$2:$A$26,Product_Master!$C$2:$C$26)</f>
        <v>1499</v>
      </c>
      <c r="H393" s="5" t="str">
        <f>_xlfn.XLOOKUP(F393,Product_Master!$A$2:$A$26,Product_Master!$D$2:$D$26)</f>
        <v>Low</v>
      </c>
      <c r="J393" s="4" t="s">
        <v>17</v>
      </c>
      <c r="K393" s="4">
        <v>0</v>
      </c>
      <c r="M393" s="4" t="s">
        <v>17</v>
      </c>
      <c r="N393" s="4">
        <f>SUMIF(Clean_sheet!C390:C889,client_formula_data!M393,Clean_sheet!K390:K889)</f>
        <v>2689</v>
      </c>
    </row>
    <row r="394" spans="6:14" x14ac:dyDescent="0.25">
      <c r="F394" s="5" t="s">
        <v>102</v>
      </c>
      <c r="G394" s="5">
        <f>_xlfn.XLOOKUP(F394,Product_Master!$A$2:$A$26,Product_Master!$C$2:$C$26)</f>
        <v>499</v>
      </c>
      <c r="H394" s="5" t="str">
        <f>_xlfn.XLOOKUP(F394,Product_Master!$A$2:$A$26,Product_Master!$D$2:$D$26)</f>
        <v>Medium</v>
      </c>
      <c r="J394" s="4" t="s">
        <v>250</v>
      </c>
      <c r="K394" s="4">
        <v>0</v>
      </c>
      <c r="M394" s="4" t="s">
        <v>250</v>
      </c>
      <c r="N394" s="4">
        <f>SUMIF(Clean_sheet!C391:C890,client_formula_data!M394,Clean_sheet!K391:K890)</f>
        <v>13092</v>
      </c>
    </row>
    <row r="395" spans="6:14" x14ac:dyDescent="0.25">
      <c r="F395" s="5" t="s">
        <v>52</v>
      </c>
      <c r="G395" s="5">
        <f>_xlfn.XLOOKUP(F395,Product_Master!$A$2:$A$26,Product_Master!$C$2:$C$26)</f>
        <v>299</v>
      </c>
      <c r="H395" s="5" t="str">
        <f>_xlfn.XLOOKUP(F395,Product_Master!$A$2:$A$26,Product_Master!$D$2:$D$26)</f>
        <v>Medium</v>
      </c>
      <c r="J395" s="4" t="s">
        <v>288</v>
      </c>
      <c r="K395" s="4">
        <v>0</v>
      </c>
      <c r="M395" s="4" t="s">
        <v>288</v>
      </c>
      <c r="N395" s="4">
        <f>SUMIF(Clean_sheet!C392:C891,client_formula_data!M395,Clean_sheet!K392:K891)</f>
        <v>299</v>
      </c>
    </row>
    <row r="396" spans="6:14" x14ac:dyDescent="0.25">
      <c r="F396" s="5" t="s">
        <v>45</v>
      </c>
      <c r="G396" s="5">
        <f>_xlfn.XLOOKUP(F396,Product_Master!$A$2:$A$26,Product_Master!$C$2:$C$26)</f>
        <v>249</v>
      </c>
      <c r="H396" s="5" t="str">
        <f>_xlfn.XLOOKUP(F396,Product_Master!$A$2:$A$26,Product_Master!$D$2:$D$26)</f>
        <v>High</v>
      </c>
      <c r="J396" s="4" t="s">
        <v>209</v>
      </c>
      <c r="K396" s="4">
        <v>0</v>
      </c>
      <c r="M396" s="4" t="s">
        <v>209</v>
      </c>
      <c r="N396" s="4">
        <f>SUMIF(Clean_sheet!C393:C892,client_formula_data!M396,Clean_sheet!K393:K892)</f>
        <v>398</v>
      </c>
    </row>
    <row r="397" spans="6:14" x14ac:dyDescent="0.25">
      <c r="F397" s="5" t="s">
        <v>52</v>
      </c>
      <c r="G397" s="5">
        <f>_xlfn.XLOOKUP(F397,Product_Master!$A$2:$A$26,Product_Master!$C$2:$C$26)</f>
        <v>299</v>
      </c>
      <c r="H397" s="5" t="str">
        <f>_xlfn.XLOOKUP(F397,Product_Master!$A$2:$A$26,Product_Master!$D$2:$D$26)</f>
        <v>Medium</v>
      </c>
      <c r="J397" s="4" t="s">
        <v>274</v>
      </c>
      <c r="K397" s="4">
        <v>0</v>
      </c>
      <c r="M397" s="4" t="s">
        <v>274</v>
      </c>
      <c r="N397" s="4">
        <f>SUMIF(Clean_sheet!C394:C893,client_formula_data!M397,Clean_sheet!K394:K893)</f>
        <v>7587</v>
      </c>
    </row>
    <row r="398" spans="6:14" x14ac:dyDescent="0.25">
      <c r="F398" s="5" t="s">
        <v>177</v>
      </c>
      <c r="G398" s="5">
        <f>_xlfn.XLOOKUP(F398,Product_Master!$A$2:$A$26,Product_Master!$C$2:$C$26)</f>
        <v>299</v>
      </c>
      <c r="H398" s="5" t="str">
        <f>_xlfn.XLOOKUP(F398,Product_Master!$A$2:$A$26,Product_Master!$D$2:$D$26)</f>
        <v>Low</v>
      </c>
      <c r="J398" s="4" t="s">
        <v>190</v>
      </c>
      <c r="K398" s="4">
        <v>0</v>
      </c>
      <c r="M398" s="4" t="s">
        <v>190</v>
      </c>
      <c r="N398" s="4">
        <f>SUMIF(Clean_sheet!C395:C894,client_formula_data!M398,Clean_sheet!K395:K894)</f>
        <v>3998</v>
      </c>
    </row>
    <row r="399" spans="6:14" x14ac:dyDescent="0.25">
      <c r="F399" s="5" t="s">
        <v>52</v>
      </c>
      <c r="G399" s="5">
        <f>_xlfn.XLOOKUP(F399,Product_Master!$A$2:$A$26,Product_Master!$C$2:$C$26)</f>
        <v>299</v>
      </c>
      <c r="H399" s="5" t="str">
        <f>_xlfn.XLOOKUP(F399,Product_Master!$A$2:$A$26,Product_Master!$D$2:$D$26)</f>
        <v>Medium</v>
      </c>
      <c r="J399" s="4" t="s">
        <v>414</v>
      </c>
      <c r="K399" s="4">
        <v>0</v>
      </c>
      <c r="M399" s="4" t="s">
        <v>414</v>
      </c>
      <c r="N399" s="4">
        <f>SUMIF(Clean_sheet!C396:C895,client_formula_data!M399,Clean_sheet!K396:K895)</f>
        <v>2396</v>
      </c>
    </row>
    <row r="400" spans="6:14" x14ac:dyDescent="0.25">
      <c r="F400" s="5" t="s">
        <v>133</v>
      </c>
      <c r="G400" s="5">
        <f>_xlfn.XLOOKUP(F400,Product_Master!$A$2:$A$26,Product_Master!$C$2:$C$26)</f>
        <v>249</v>
      </c>
      <c r="H400" s="5" t="str">
        <f>_xlfn.XLOOKUP(F400,Product_Master!$A$2:$A$26,Product_Master!$D$2:$D$26)</f>
        <v>High</v>
      </c>
      <c r="J400" s="4" t="s">
        <v>259</v>
      </c>
      <c r="K400" s="4">
        <v>0</v>
      </c>
      <c r="M400" s="4" t="s">
        <v>259</v>
      </c>
      <c r="N400" s="4">
        <f>SUMIF(Clean_sheet!C397:C896,client_formula_data!M400,Clean_sheet!K397:K896)</f>
        <v>10289</v>
      </c>
    </row>
    <row r="401" spans="6:14" x14ac:dyDescent="0.25">
      <c r="F401" s="5" t="s">
        <v>200</v>
      </c>
      <c r="G401" s="5">
        <f>_xlfn.XLOOKUP(F401,Product_Master!$A$2:$A$26,Product_Master!$C$2:$C$26)</f>
        <v>1299</v>
      </c>
      <c r="H401" s="5" t="str">
        <f>_xlfn.XLOOKUP(F401,Product_Master!$A$2:$A$26,Product_Master!$D$2:$D$26)</f>
        <v>High</v>
      </c>
      <c r="J401" s="4" t="s">
        <v>255</v>
      </c>
      <c r="K401" s="4">
        <v>0</v>
      </c>
      <c r="M401" s="4" t="s">
        <v>255</v>
      </c>
      <c r="N401" s="4">
        <f>SUMIF(Clean_sheet!C398:C897,client_formula_data!M401,Clean_sheet!K398:K897)</f>
        <v>6296</v>
      </c>
    </row>
    <row r="402" spans="6:14" x14ac:dyDescent="0.25">
      <c r="F402" s="5" t="s">
        <v>235</v>
      </c>
      <c r="G402" s="5">
        <f>_xlfn.XLOOKUP(F402,Product_Master!$A$2:$A$26,Product_Master!$C$2:$C$26)</f>
        <v>399</v>
      </c>
      <c r="H402" s="5" t="str">
        <f>_xlfn.XLOOKUP(F402,Product_Master!$A$2:$A$26,Product_Master!$D$2:$D$26)</f>
        <v>High</v>
      </c>
      <c r="J402" s="4" t="s">
        <v>257</v>
      </c>
      <c r="K402" s="4">
        <v>0</v>
      </c>
      <c r="M402" s="4" t="s">
        <v>257</v>
      </c>
      <c r="N402" s="4">
        <f>SUMIF(Clean_sheet!C399:C898,client_formula_data!M402,Clean_sheet!K399:K898)</f>
        <v>9689</v>
      </c>
    </row>
    <row r="403" spans="6:14" x14ac:dyDescent="0.25">
      <c r="F403" s="5" t="s">
        <v>171</v>
      </c>
      <c r="G403" s="5">
        <f>_xlfn.XLOOKUP(F403,Product_Master!$A$2:$A$26,Product_Master!$C$2:$C$26)</f>
        <v>299</v>
      </c>
      <c r="H403" s="5" t="str">
        <f>_xlfn.XLOOKUP(F403,Product_Master!$A$2:$A$26,Product_Master!$D$2:$D$26)</f>
        <v>High</v>
      </c>
      <c r="J403" s="4" t="s">
        <v>150</v>
      </c>
      <c r="K403" s="4">
        <v>0</v>
      </c>
      <c r="M403" s="4" t="s">
        <v>150</v>
      </c>
      <c r="N403" s="4">
        <f>SUMIF(Clean_sheet!C400:C899,client_formula_data!M403,Clean_sheet!K400:K899)</f>
        <v>7497</v>
      </c>
    </row>
    <row r="404" spans="6:14" x14ac:dyDescent="0.25">
      <c r="F404" s="5" t="s">
        <v>156</v>
      </c>
      <c r="G404" s="5">
        <f>_xlfn.XLOOKUP(F404,Product_Master!$A$2:$A$26,Product_Master!$C$2:$C$26)</f>
        <v>599</v>
      </c>
      <c r="H404" s="5" t="str">
        <f>_xlfn.XLOOKUP(F404,Product_Master!$A$2:$A$26,Product_Master!$D$2:$D$26)</f>
        <v>High</v>
      </c>
      <c r="J404" s="4" t="s">
        <v>366</v>
      </c>
      <c r="K404" s="4">
        <v>0</v>
      </c>
      <c r="M404" s="4" t="s">
        <v>366</v>
      </c>
      <c r="N404" s="4">
        <f>SUMIF(Clean_sheet!C401:C900,client_formula_data!M404,Clean_sheet!K401:K900)</f>
        <v>3995</v>
      </c>
    </row>
    <row r="405" spans="6:14" x14ac:dyDescent="0.25">
      <c r="F405" s="5" t="s">
        <v>133</v>
      </c>
      <c r="G405" s="5">
        <f>_xlfn.XLOOKUP(F405,Product_Master!$A$2:$A$26,Product_Master!$C$2:$C$26)</f>
        <v>249</v>
      </c>
      <c r="H405" s="5" t="str">
        <f>_xlfn.XLOOKUP(F405,Product_Master!$A$2:$A$26,Product_Master!$D$2:$D$26)</f>
        <v>High</v>
      </c>
      <c r="J405" s="4" t="s">
        <v>139</v>
      </c>
      <c r="K405" s="4">
        <v>0</v>
      </c>
      <c r="M405" s="4" t="s">
        <v>139</v>
      </c>
      <c r="N405" s="4">
        <f>SUMIF(Clean_sheet!C402:C901,client_formula_data!M405,Clean_sheet!K402:K901)</f>
        <v>3994</v>
      </c>
    </row>
    <row r="406" spans="6:14" x14ac:dyDescent="0.25">
      <c r="F406" s="5" t="s">
        <v>108</v>
      </c>
      <c r="G406" s="5">
        <f>_xlfn.XLOOKUP(F406,Product_Master!$A$2:$A$26,Product_Master!$C$2:$C$26)</f>
        <v>499</v>
      </c>
      <c r="H406" s="5" t="str">
        <f>_xlfn.XLOOKUP(F406,Product_Master!$A$2:$A$26,Product_Master!$D$2:$D$26)</f>
        <v>Medium</v>
      </c>
      <c r="J406" s="4" t="s">
        <v>266</v>
      </c>
      <c r="K406" s="4">
        <v>0</v>
      </c>
      <c r="M406" s="4" t="s">
        <v>266</v>
      </c>
      <c r="N406" s="4">
        <f>SUMIF(Clean_sheet!C403:C902,client_formula_data!M406,Clean_sheet!K403:K902)</f>
        <v>5694</v>
      </c>
    </row>
    <row r="407" spans="6:14" x14ac:dyDescent="0.25">
      <c r="F407" s="5" t="s">
        <v>200</v>
      </c>
      <c r="G407" s="5">
        <f>_xlfn.XLOOKUP(F407,Product_Master!$A$2:$A$26,Product_Master!$C$2:$C$26)</f>
        <v>1299</v>
      </c>
      <c r="H407" s="5" t="str">
        <f>_xlfn.XLOOKUP(F407,Product_Master!$A$2:$A$26,Product_Master!$D$2:$D$26)</f>
        <v>High</v>
      </c>
      <c r="J407" s="4" t="s">
        <v>164</v>
      </c>
      <c r="K407" s="4">
        <v>0</v>
      </c>
      <c r="M407" s="4" t="s">
        <v>164</v>
      </c>
      <c r="N407" s="4">
        <f>SUMIF(Clean_sheet!C404:C903,client_formula_data!M407,Clean_sheet!K404:K903)</f>
        <v>5194</v>
      </c>
    </row>
    <row r="408" spans="6:14" x14ac:dyDescent="0.25">
      <c r="F408" s="5" t="s">
        <v>171</v>
      </c>
      <c r="G408" s="5">
        <f>_xlfn.XLOOKUP(F408,Product_Master!$A$2:$A$26,Product_Master!$C$2:$C$26)</f>
        <v>299</v>
      </c>
      <c r="H408" s="5" t="str">
        <f>_xlfn.XLOOKUP(F408,Product_Master!$A$2:$A$26,Product_Master!$D$2:$D$26)</f>
        <v>High</v>
      </c>
      <c r="J408" s="4" t="s">
        <v>360</v>
      </c>
      <c r="K408" s="4">
        <v>0</v>
      </c>
      <c r="M408" s="4" t="s">
        <v>360</v>
      </c>
      <c r="N408" s="4">
        <f>SUMIF(Clean_sheet!C405:C904,client_formula_data!M408,Clean_sheet!K405:K904)</f>
        <v>5189</v>
      </c>
    </row>
    <row r="409" spans="6:14" x14ac:dyDescent="0.25">
      <c r="F409" s="5" t="s">
        <v>137</v>
      </c>
      <c r="G409" s="5">
        <f>_xlfn.XLOOKUP(F409,Product_Master!$A$2:$A$26,Product_Master!$C$2:$C$26)</f>
        <v>299</v>
      </c>
      <c r="H409" s="5" t="str">
        <f>_xlfn.XLOOKUP(F409,Product_Master!$A$2:$A$26,Product_Master!$D$2:$D$26)</f>
        <v>Low</v>
      </c>
      <c r="J409" s="4" t="s">
        <v>27</v>
      </c>
      <c r="K409" s="4">
        <v>0</v>
      </c>
      <c r="M409" s="4" t="s">
        <v>27</v>
      </c>
      <c r="N409" s="4">
        <f>SUMIF(Clean_sheet!C406:C905,client_formula_data!M409,Clean_sheet!K406:K905)</f>
        <v>9995</v>
      </c>
    </row>
    <row r="410" spans="6:14" x14ac:dyDescent="0.25">
      <c r="F410" s="5" t="s">
        <v>69</v>
      </c>
      <c r="G410" s="5">
        <f>_xlfn.XLOOKUP(F410,Product_Master!$A$2:$A$26,Product_Master!$C$2:$C$26)</f>
        <v>499</v>
      </c>
      <c r="H410" s="5" t="str">
        <f>_xlfn.XLOOKUP(F410,Product_Master!$A$2:$A$26,Product_Master!$D$2:$D$26)</f>
        <v>Medium</v>
      </c>
      <c r="J410" s="4" t="s">
        <v>218</v>
      </c>
      <c r="K410" s="4">
        <v>0</v>
      </c>
      <c r="M410" s="4" t="s">
        <v>218</v>
      </c>
      <c r="N410" s="4">
        <f>SUMIF(Clean_sheet!C407:C906,client_formula_data!M410,Clean_sheet!K407:K906)</f>
        <v>2995</v>
      </c>
    </row>
    <row r="411" spans="6:14" x14ac:dyDescent="0.25">
      <c r="F411" s="5" t="s">
        <v>151</v>
      </c>
      <c r="G411" s="5">
        <f>_xlfn.XLOOKUP(F411,Product_Master!$A$2:$A$26,Product_Master!$C$2:$C$26)</f>
        <v>1299</v>
      </c>
      <c r="H411" s="5" t="str">
        <f>_xlfn.XLOOKUP(F411,Product_Master!$A$2:$A$26,Product_Master!$D$2:$D$26)</f>
        <v>Medium</v>
      </c>
      <c r="J411" s="4" t="s">
        <v>253</v>
      </c>
      <c r="K411" s="4">
        <v>0</v>
      </c>
      <c r="M411" s="4" t="s">
        <v>253</v>
      </c>
      <c r="N411" s="4">
        <f>SUMIF(Clean_sheet!C408:C907,client_formula_data!M411,Clean_sheet!K408:K907)</f>
        <v>2998</v>
      </c>
    </row>
    <row r="412" spans="6:14" x14ac:dyDescent="0.25">
      <c r="F412" s="5" t="s">
        <v>77</v>
      </c>
      <c r="G412" s="5">
        <f>_xlfn.XLOOKUP(F412,Product_Master!$A$2:$A$26,Product_Master!$C$2:$C$26)</f>
        <v>999</v>
      </c>
      <c r="H412" s="5" t="str">
        <f>_xlfn.XLOOKUP(F412,Product_Master!$A$2:$A$26,Product_Master!$D$2:$D$26)</f>
        <v>High</v>
      </c>
      <c r="J412" s="4" t="s">
        <v>17</v>
      </c>
      <c r="K412" s="4">
        <v>0</v>
      </c>
      <c r="M412" s="4" t="s">
        <v>17</v>
      </c>
      <c r="N412" s="4">
        <f>SUMIF(Clean_sheet!C409:C908,client_formula_data!M412,Clean_sheet!K409:K908)</f>
        <v>2191</v>
      </c>
    </row>
    <row r="413" spans="6:14" x14ac:dyDescent="0.25">
      <c r="F413" s="5" t="s">
        <v>94</v>
      </c>
      <c r="G413" s="5">
        <f>_xlfn.XLOOKUP(F413,Product_Master!$A$2:$A$26,Product_Master!$C$2:$C$26)</f>
        <v>999</v>
      </c>
      <c r="H413" s="5" t="str">
        <f>_xlfn.XLOOKUP(F413,Product_Master!$A$2:$A$26,Product_Master!$D$2:$D$26)</f>
        <v>Medium</v>
      </c>
      <c r="J413" s="4" t="s">
        <v>67</v>
      </c>
      <c r="K413" s="4">
        <v>0</v>
      </c>
      <c r="M413" s="4" t="s">
        <v>67</v>
      </c>
      <c r="N413" s="4">
        <f>SUMIF(Clean_sheet!C410:C909,client_formula_data!M413,Clean_sheet!K410:K909)</f>
        <v>7495</v>
      </c>
    </row>
    <row r="414" spans="6:14" x14ac:dyDescent="0.25">
      <c r="F414" s="5" t="s">
        <v>137</v>
      </c>
      <c r="G414" s="5">
        <f>_xlfn.XLOOKUP(F414,Product_Master!$A$2:$A$26,Product_Master!$C$2:$C$26)</f>
        <v>299</v>
      </c>
      <c r="H414" s="5" t="str">
        <f>_xlfn.XLOOKUP(F414,Product_Master!$A$2:$A$26,Product_Master!$D$2:$D$26)</f>
        <v>Low</v>
      </c>
      <c r="J414" s="4" t="s">
        <v>313</v>
      </c>
      <c r="K414" s="4">
        <v>0</v>
      </c>
      <c r="M414" s="4" t="s">
        <v>313</v>
      </c>
      <c r="N414" s="4">
        <f>SUMIF(Clean_sheet!C411:C910,client_formula_data!M414,Clean_sheet!K411:K910)</f>
        <v>998</v>
      </c>
    </row>
    <row r="415" spans="6:14" x14ac:dyDescent="0.25">
      <c r="F415" s="5" t="s">
        <v>73</v>
      </c>
      <c r="G415" s="5">
        <f>_xlfn.XLOOKUP(F415,Product_Master!$A$2:$A$26,Product_Master!$C$2:$C$26)</f>
        <v>1499</v>
      </c>
      <c r="H415" s="5" t="str">
        <f>_xlfn.XLOOKUP(F415,Product_Master!$A$2:$A$26,Product_Master!$D$2:$D$26)</f>
        <v>Medium</v>
      </c>
      <c r="J415" s="4" t="s">
        <v>91</v>
      </c>
      <c r="K415" s="4">
        <v>0</v>
      </c>
      <c r="M415" s="4" t="s">
        <v>91</v>
      </c>
      <c r="N415" s="4">
        <f>SUMIF(Clean_sheet!C412:C911,client_formula_data!M415,Clean_sheet!K412:K911)</f>
        <v>17490</v>
      </c>
    </row>
    <row r="416" spans="6:14" x14ac:dyDescent="0.25">
      <c r="F416" s="5" t="s">
        <v>200</v>
      </c>
      <c r="G416" s="5">
        <f>_xlfn.XLOOKUP(F416,Product_Master!$A$2:$A$26,Product_Master!$C$2:$C$26)</f>
        <v>1299</v>
      </c>
      <c r="H416" s="5" t="str">
        <f>_xlfn.XLOOKUP(F416,Product_Master!$A$2:$A$26,Product_Master!$D$2:$D$26)</f>
        <v>High</v>
      </c>
      <c r="J416" s="4" t="s">
        <v>42</v>
      </c>
      <c r="K416" s="4">
        <v>0</v>
      </c>
      <c r="M416" s="4" t="s">
        <v>42</v>
      </c>
      <c r="N416" s="4">
        <f>SUMIF(Clean_sheet!C413:C912,client_formula_data!M416,Clean_sheet!K413:K912)</f>
        <v>1999</v>
      </c>
    </row>
    <row r="417" spans="6:14" x14ac:dyDescent="0.25">
      <c r="F417" s="5" t="s">
        <v>30</v>
      </c>
      <c r="G417" s="5">
        <f>_xlfn.XLOOKUP(F417,Product_Master!$A$2:$A$26,Product_Master!$C$2:$C$26)</f>
        <v>799</v>
      </c>
      <c r="H417" s="5" t="str">
        <f>_xlfn.XLOOKUP(F417,Product_Master!$A$2:$A$26,Product_Master!$D$2:$D$26)</f>
        <v>High</v>
      </c>
      <c r="J417" s="4" t="s">
        <v>186</v>
      </c>
      <c r="K417" s="4">
        <v>0</v>
      </c>
      <c r="M417" s="4" t="s">
        <v>186</v>
      </c>
      <c r="N417" s="4">
        <f>SUMIF(Clean_sheet!C414:C913,client_formula_data!M417,Clean_sheet!K414:K913)</f>
        <v>1999</v>
      </c>
    </row>
    <row r="418" spans="6:14" x14ac:dyDescent="0.25">
      <c r="F418" s="5" t="s">
        <v>120</v>
      </c>
      <c r="G418" s="5">
        <f>_xlfn.XLOOKUP(F418,Product_Master!$A$2:$A$26,Product_Master!$C$2:$C$26)</f>
        <v>299</v>
      </c>
      <c r="H418" s="5" t="str">
        <f>_xlfn.XLOOKUP(F418,Product_Master!$A$2:$A$26,Product_Master!$D$2:$D$26)</f>
        <v>Medium</v>
      </c>
      <c r="J418" s="4" t="s">
        <v>97</v>
      </c>
      <c r="K418" s="4">
        <v>0</v>
      </c>
      <c r="M418" s="4" t="s">
        <v>97</v>
      </c>
      <c r="N418" s="4">
        <f>SUMIF(Clean_sheet!C415:C914,client_formula_data!M418,Clean_sheet!K415:K914)</f>
        <v>20485</v>
      </c>
    </row>
    <row r="419" spans="6:14" x14ac:dyDescent="0.25">
      <c r="F419" s="5" t="s">
        <v>140</v>
      </c>
      <c r="G419" s="5">
        <f>_xlfn.XLOOKUP(F419,Product_Master!$A$2:$A$26,Product_Master!$C$2:$C$26)</f>
        <v>499</v>
      </c>
      <c r="H419" s="5" t="str">
        <f>_xlfn.XLOOKUP(F419,Product_Master!$A$2:$A$26,Product_Master!$D$2:$D$26)</f>
        <v>Medium</v>
      </c>
      <c r="J419" s="4" t="s">
        <v>388</v>
      </c>
      <c r="K419" s="4">
        <v>0</v>
      </c>
      <c r="M419" s="4" t="s">
        <v>388</v>
      </c>
      <c r="N419" s="4">
        <f>SUMIF(Clean_sheet!C416:C915,client_formula_data!M419,Clean_sheet!K416:K915)</f>
        <v>17988</v>
      </c>
    </row>
    <row r="420" spans="6:14" x14ac:dyDescent="0.25">
      <c r="F420" s="5" t="s">
        <v>73</v>
      </c>
      <c r="G420" s="5">
        <f>_xlfn.XLOOKUP(F420,Product_Master!$A$2:$A$26,Product_Master!$C$2:$C$26)</f>
        <v>1499</v>
      </c>
      <c r="H420" s="5" t="str">
        <f>_xlfn.XLOOKUP(F420,Product_Master!$A$2:$A$26,Product_Master!$D$2:$D$26)</f>
        <v>Medium</v>
      </c>
      <c r="J420" s="4" t="s">
        <v>606</v>
      </c>
      <c r="K420" s="4">
        <v>0</v>
      </c>
      <c r="M420" s="4" t="s">
        <v>606</v>
      </c>
      <c r="N420" s="4">
        <f>SUMIF(Clean_sheet!C417:C916,client_formula_data!M420,Clean_sheet!K417:K916)</f>
        <v>4996</v>
      </c>
    </row>
    <row r="421" spans="6:14" x14ac:dyDescent="0.25">
      <c r="F421" s="5" t="s">
        <v>151</v>
      </c>
      <c r="G421" s="5">
        <f>_xlfn.XLOOKUP(F421,Product_Master!$A$2:$A$26,Product_Master!$C$2:$C$26)</f>
        <v>1299</v>
      </c>
      <c r="H421" s="5" t="str">
        <f>_xlfn.XLOOKUP(F421,Product_Master!$A$2:$A$26,Product_Master!$D$2:$D$26)</f>
        <v>Medium</v>
      </c>
      <c r="J421" s="4" t="s">
        <v>329</v>
      </c>
      <c r="K421" s="4">
        <v>0</v>
      </c>
      <c r="M421" s="4" t="s">
        <v>329</v>
      </c>
      <c r="N421" s="4">
        <f>SUMIF(Clean_sheet!C418:C917,client_formula_data!M421,Clean_sheet!K418:K917)</f>
        <v>5996</v>
      </c>
    </row>
    <row r="422" spans="6:14" x14ac:dyDescent="0.25">
      <c r="F422" s="5" t="s">
        <v>200</v>
      </c>
      <c r="G422" s="5">
        <f>_xlfn.XLOOKUP(F422,Product_Master!$A$2:$A$26,Product_Master!$C$2:$C$26)</f>
        <v>1299</v>
      </c>
      <c r="H422" s="5" t="str">
        <f>_xlfn.XLOOKUP(F422,Product_Master!$A$2:$A$26,Product_Master!$D$2:$D$26)</f>
        <v>High</v>
      </c>
      <c r="J422" s="4" t="s">
        <v>213</v>
      </c>
      <c r="K422" s="4">
        <v>0</v>
      </c>
      <c r="M422" s="4" t="s">
        <v>213</v>
      </c>
      <c r="N422" s="4">
        <f>SUMIF(Clean_sheet!C419:C918,client_formula_data!M422,Clean_sheet!K419:K918)</f>
        <v>1597</v>
      </c>
    </row>
    <row r="423" spans="6:14" x14ac:dyDescent="0.25">
      <c r="F423" s="5" t="s">
        <v>30</v>
      </c>
      <c r="G423" s="5">
        <f>_xlfn.XLOOKUP(F423,Product_Master!$A$2:$A$26,Product_Master!$C$2:$C$26)</f>
        <v>799</v>
      </c>
      <c r="H423" s="5" t="str">
        <f>_xlfn.XLOOKUP(F423,Product_Master!$A$2:$A$26,Product_Master!$D$2:$D$26)</f>
        <v>High</v>
      </c>
      <c r="J423" s="4" t="s">
        <v>97</v>
      </c>
      <c r="K423" s="4">
        <v>0</v>
      </c>
      <c r="M423" s="4" t="s">
        <v>97</v>
      </c>
      <c r="N423" s="4">
        <f>SUMIF(Clean_sheet!C420:C919,client_formula_data!M423,Clean_sheet!K420:K919)</f>
        <v>7990</v>
      </c>
    </row>
    <row r="424" spans="6:14" x14ac:dyDescent="0.25">
      <c r="F424" s="5" t="s">
        <v>77</v>
      </c>
      <c r="G424" s="5">
        <f>_xlfn.XLOOKUP(F424,Product_Master!$A$2:$A$26,Product_Master!$C$2:$C$26)</f>
        <v>999</v>
      </c>
      <c r="H424" s="5" t="str">
        <f>_xlfn.XLOOKUP(F424,Product_Master!$A$2:$A$26,Product_Master!$D$2:$D$26)</f>
        <v>High</v>
      </c>
      <c r="J424" s="4" t="s">
        <v>59</v>
      </c>
      <c r="K424" s="4">
        <v>0</v>
      </c>
      <c r="M424" s="4" t="s">
        <v>59</v>
      </c>
      <c r="N424" s="4">
        <f>SUMIF(Clean_sheet!C421:C920,client_formula_data!M424,Clean_sheet!K421:K920)</f>
        <v>12994</v>
      </c>
    </row>
    <row r="425" spans="6:14" x14ac:dyDescent="0.25">
      <c r="F425" s="5" t="s">
        <v>21</v>
      </c>
      <c r="G425" s="5">
        <f>_xlfn.XLOOKUP(F425,Product_Master!$A$2:$A$26,Product_Master!$C$2:$C$26)</f>
        <v>1499</v>
      </c>
      <c r="H425" s="5" t="str">
        <f>_xlfn.XLOOKUP(F425,Product_Master!$A$2:$A$26,Product_Master!$D$2:$D$26)</f>
        <v>Low</v>
      </c>
      <c r="J425" s="4" t="s">
        <v>255</v>
      </c>
      <c r="K425" s="4">
        <v>0</v>
      </c>
      <c r="M425" s="4" t="s">
        <v>255</v>
      </c>
      <c r="N425" s="4">
        <f>SUMIF(Clean_sheet!C422:C921,client_formula_data!M425,Clean_sheet!K422:K921)</f>
        <v>5997</v>
      </c>
    </row>
    <row r="426" spans="6:14" x14ac:dyDescent="0.25">
      <c r="F426" s="5" t="s">
        <v>69</v>
      </c>
      <c r="G426" s="5">
        <f>_xlfn.XLOOKUP(F426,Product_Master!$A$2:$A$26,Product_Master!$C$2:$C$26)</f>
        <v>499</v>
      </c>
      <c r="H426" s="5" t="str">
        <f>_xlfn.XLOOKUP(F426,Product_Master!$A$2:$A$26,Product_Master!$D$2:$D$26)</f>
        <v>Medium</v>
      </c>
      <c r="J426" s="4" t="s">
        <v>192</v>
      </c>
      <c r="K426" s="4">
        <v>0</v>
      </c>
      <c r="M426" s="4" t="s">
        <v>192</v>
      </c>
      <c r="N426" s="4">
        <f>SUMIF(Clean_sheet!C423:C922,client_formula_data!M426,Clean_sheet!K423:K922)</f>
        <v>16392</v>
      </c>
    </row>
    <row r="427" spans="6:14" x14ac:dyDescent="0.25">
      <c r="F427" s="5" t="s">
        <v>77</v>
      </c>
      <c r="G427" s="5">
        <f>_xlfn.XLOOKUP(F427,Product_Master!$A$2:$A$26,Product_Master!$C$2:$C$26)</f>
        <v>999</v>
      </c>
      <c r="H427" s="5" t="str">
        <f>_xlfn.XLOOKUP(F427,Product_Master!$A$2:$A$26,Product_Master!$D$2:$D$26)</f>
        <v>High</v>
      </c>
      <c r="J427" s="4" t="s">
        <v>360</v>
      </c>
      <c r="K427" s="4">
        <v>0</v>
      </c>
      <c r="M427" s="4" t="s">
        <v>360</v>
      </c>
      <c r="N427" s="4">
        <f>SUMIF(Clean_sheet!C424:C923,client_formula_data!M427,Clean_sheet!K424:K923)</f>
        <v>4194</v>
      </c>
    </row>
    <row r="428" spans="6:14" x14ac:dyDescent="0.25">
      <c r="F428" s="5" t="s">
        <v>235</v>
      </c>
      <c r="G428" s="5">
        <f>_xlfn.XLOOKUP(F428,Product_Master!$A$2:$A$26,Product_Master!$C$2:$C$26)</f>
        <v>399</v>
      </c>
      <c r="H428" s="5" t="str">
        <f>_xlfn.XLOOKUP(F428,Product_Master!$A$2:$A$26,Product_Master!$D$2:$D$26)</f>
        <v>High</v>
      </c>
      <c r="J428" s="4" t="s">
        <v>188</v>
      </c>
      <c r="K428" s="4">
        <v>0</v>
      </c>
      <c r="M428" s="4" t="s">
        <v>188</v>
      </c>
      <c r="N428" s="4">
        <f>SUMIF(Clean_sheet!C425:C924,client_formula_data!M428,Clean_sheet!K425:K924)</f>
        <v>1397</v>
      </c>
    </row>
    <row r="429" spans="6:14" x14ac:dyDescent="0.25">
      <c r="F429" s="5" t="s">
        <v>137</v>
      </c>
      <c r="G429" s="5">
        <f>_xlfn.XLOOKUP(F429,Product_Master!$A$2:$A$26,Product_Master!$C$2:$C$26)</f>
        <v>299</v>
      </c>
      <c r="H429" s="5" t="str">
        <f>_xlfn.XLOOKUP(F429,Product_Master!$A$2:$A$26,Product_Master!$D$2:$D$26)</f>
        <v>Low</v>
      </c>
      <c r="J429" s="4" t="s">
        <v>119</v>
      </c>
      <c r="K429" s="4">
        <v>0</v>
      </c>
      <c r="M429" s="4" t="s">
        <v>119</v>
      </c>
      <c r="N429" s="4">
        <f>SUMIF(Clean_sheet!C426:C925,client_formula_data!M429,Clean_sheet!K426:K925)</f>
        <v>9290</v>
      </c>
    </row>
    <row r="430" spans="6:14" x14ac:dyDescent="0.25">
      <c r="F430" s="5" t="s">
        <v>137</v>
      </c>
      <c r="G430" s="5">
        <f>_xlfn.XLOOKUP(F430,Product_Master!$A$2:$A$26,Product_Master!$C$2:$C$26)</f>
        <v>299</v>
      </c>
      <c r="H430" s="5" t="str">
        <f>_xlfn.XLOOKUP(F430,Product_Master!$A$2:$A$26,Product_Master!$D$2:$D$26)</f>
        <v>Low</v>
      </c>
      <c r="J430" s="4" t="s">
        <v>302</v>
      </c>
      <c r="K430" s="4">
        <v>0</v>
      </c>
      <c r="M430" s="4" t="s">
        <v>302</v>
      </c>
      <c r="N430" s="4">
        <f>SUMIF(Clean_sheet!C427:C926,client_formula_data!M430,Clean_sheet!K427:K926)</f>
        <v>4588</v>
      </c>
    </row>
    <row r="431" spans="6:14" x14ac:dyDescent="0.25">
      <c r="F431" s="5" t="s">
        <v>108</v>
      </c>
      <c r="G431" s="5">
        <f>_xlfn.XLOOKUP(F431,Product_Master!$A$2:$A$26,Product_Master!$C$2:$C$26)</f>
        <v>499</v>
      </c>
      <c r="H431" s="5" t="str">
        <f>_xlfn.XLOOKUP(F431,Product_Master!$A$2:$A$26,Product_Master!$D$2:$D$26)</f>
        <v>Medium</v>
      </c>
      <c r="J431" s="4" t="s">
        <v>360</v>
      </c>
      <c r="K431" s="4">
        <v>0</v>
      </c>
      <c r="M431" s="4" t="s">
        <v>360</v>
      </c>
      <c r="N431" s="4">
        <f>SUMIF(Clean_sheet!C428:C927,client_formula_data!M431,Clean_sheet!K428:K927)</f>
        <v>2397</v>
      </c>
    </row>
    <row r="432" spans="6:14" x14ac:dyDescent="0.25">
      <c r="F432" s="5" t="s">
        <v>81</v>
      </c>
      <c r="G432" s="5">
        <f>_xlfn.XLOOKUP(F432,Product_Master!$A$2:$A$26,Product_Master!$C$2:$C$26)</f>
        <v>299</v>
      </c>
      <c r="H432" s="5" t="str">
        <f>_xlfn.XLOOKUP(F432,Product_Master!$A$2:$A$26,Product_Master!$D$2:$D$26)</f>
        <v>Low</v>
      </c>
      <c r="J432" s="4" t="s">
        <v>302</v>
      </c>
      <c r="K432" s="4">
        <v>0</v>
      </c>
      <c r="M432" s="4" t="s">
        <v>302</v>
      </c>
      <c r="N432" s="4">
        <f>SUMIF(Clean_sheet!C429:C928,client_formula_data!M432,Clean_sheet!K429:K928)</f>
        <v>3392</v>
      </c>
    </row>
    <row r="433" spans="6:14" x14ac:dyDescent="0.25">
      <c r="F433" s="5" t="s">
        <v>200</v>
      </c>
      <c r="G433" s="5">
        <f>_xlfn.XLOOKUP(F433,Product_Master!$A$2:$A$26,Product_Master!$C$2:$C$26)</f>
        <v>1299</v>
      </c>
      <c r="H433" s="5" t="str">
        <f>_xlfn.XLOOKUP(F433,Product_Master!$A$2:$A$26,Product_Master!$D$2:$D$26)</f>
        <v>High</v>
      </c>
      <c r="J433" s="4" t="s">
        <v>164</v>
      </c>
      <c r="K433" s="4">
        <v>0</v>
      </c>
      <c r="M433" s="4" t="s">
        <v>164</v>
      </c>
      <c r="N433" s="4">
        <f>SUMIF(Clean_sheet!C430:C929,client_formula_data!M433,Clean_sheet!K430:K929)</f>
        <v>4995</v>
      </c>
    </row>
    <row r="434" spans="6:14" x14ac:dyDescent="0.25">
      <c r="F434" s="5" t="s">
        <v>108</v>
      </c>
      <c r="G434" s="5">
        <f>_xlfn.XLOOKUP(F434,Product_Master!$A$2:$A$26,Product_Master!$C$2:$C$26)</f>
        <v>499</v>
      </c>
      <c r="H434" s="5" t="str">
        <f>_xlfn.XLOOKUP(F434,Product_Master!$A$2:$A$26,Product_Master!$D$2:$D$26)</f>
        <v>Medium</v>
      </c>
      <c r="J434" s="4" t="s">
        <v>93</v>
      </c>
      <c r="K434" s="4">
        <v>0</v>
      </c>
      <c r="M434" s="4" t="s">
        <v>93</v>
      </c>
      <c r="N434" s="4">
        <f>SUMIF(Clean_sheet!C431:C930,client_formula_data!M434,Clean_sheet!K431:K930)</f>
        <v>796</v>
      </c>
    </row>
    <row r="435" spans="6:14" x14ac:dyDescent="0.25">
      <c r="F435" s="5" t="s">
        <v>37</v>
      </c>
      <c r="G435" s="5">
        <f>_xlfn.XLOOKUP(F435,Product_Master!$A$2:$A$26,Product_Master!$C$2:$C$26)</f>
        <v>1999</v>
      </c>
      <c r="H435" s="5" t="str">
        <f>_xlfn.XLOOKUP(F435,Product_Master!$A$2:$A$26,Product_Master!$D$2:$D$26)</f>
        <v>High</v>
      </c>
      <c r="J435" s="4" t="s">
        <v>129</v>
      </c>
      <c r="K435" s="4">
        <v>0</v>
      </c>
      <c r="M435" s="4" t="s">
        <v>129</v>
      </c>
      <c r="N435" s="4">
        <f>SUMIF(Clean_sheet!C432:C931,client_formula_data!M435,Clean_sheet!K432:K931)</f>
        <v>1596</v>
      </c>
    </row>
    <row r="436" spans="6:14" x14ac:dyDescent="0.25">
      <c r="F436" s="5" t="s">
        <v>355</v>
      </c>
      <c r="G436" s="5">
        <f>_xlfn.XLOOKUP(F436,Product_Master!$A$2:$A$26,Product_Master!$C$2:$C$26)</f>
        <v>2499</v>
      </c>
      <c r="H436" s="5" t="str">
        <f>_xlfn.XLOOKUP(F436,Product_Master!$A$2:$A$26,Product_Master!$D$2:$D$26)</f>
        <v>Medium</v>
      </c>
      <c r="J436" s="4" t="s">
        <v>56</v>
      </c>
      <c r="K436" s="4">
        <v>0</v>
      </c>
      <c r="M436" s="4" t="s">
        <v>56</v>
      </c>
      <c r="N436" s="4">
        <f>SUMIF(Clean_sheet!C433:C932,client_formula_data!M436,Clean_sheet!K433:K932)</f>
        <v>4397</v>
      </c>
    </row>
    <row r="437" spans="6:14" x14ac:dyDescent="0.25">
      <c r="F437" s="5" t="s">
        <v>37</v>
      </c>
      <c r="G437" s="5">
        <f>_xlfn.XLOOKUP(F437,Product_Master!$A$2:$A$26,Product_Master!$C$2:$C$26)</f>
        <v>1999</v>
      </c>
      <c r="H437" s="5" t="str">
        <f>_xlfn.XLOOKUP(F437,Product_Master!$A$2:$A$26,Product_Master!$D$2:$D$26)</f>
        <v>High</v>
      </c>
      <c r="J437" s="4" t="s">
        <v>606</v>
      </c>
      <c r="K437" s="4">
        <v>0</v>
      </c>
      <c r="M437" s="4" t="s">
        <v>606</v>
      </c>
      <c r="N437" s="4">
        <f>SUMIF(Clean_sheet!C434:C933,client_formula_data!M437,Clean_sheet!K434:K933)</f>
        <v>2997</v>
      </c>
    </row>
    <row r="438" spans="6:14" x14ac:dyDescent="0.25">
      <c r="F438" s="5" t="s">
        <v>81</v>
      </c>
      <c r="G438" s="5">
        <f>_xlfn.XLOOKUP(F438,Product_Master!$A$2:$A$26,Product_Master!$C$2:$C$26)</f>
        <v>299</v>
      </c>
      <c r="H438" s="5" t="str">
        <f>_xlfn.XLOOKUP(F438,Product_Master!$A$2:$A$26,Product_Master!$D$2:$D$26)</f>
        <v>Low</v>
      </c>
      <c r="J438" s="4" t="s">
        <v>145</v>
      </c>
      <c r="K438" s="4">
        <v>0</v>
      </c>
      <c r="M438" s="4" t="s">
        <v>145</v>
      </c>
      <c r="N438" s="4">
        <f>SUMIF(Clean_sheet!C435:C934,client_formula_data!M438,Clean_sheet!K435:K934)</f>
        <v>299</v>
      </c>
    </row>
    <row r="439" spans="6:14" x14ac:dyDescent="0.25">
      <c r="F439" s="5" t="s">
        <v>137</v>
      </c>
      <c r="G439" s="5">
        <f>_xlfn.XLOOKUP(F439,Product_Master!$A$2:$A$26,Product_Master!$C$2:$C$26)</f>
        <v>299</v>
      </c>
      <c r="H439" s="5" t="str">
        <f>_xlfn.XLOOKUP(F439,Product_Master!$A$2:$A$26,Product_Master!$D$2:$D$26)</f>
        <v>Low</v>
      </c>
      <c r="J439" s="4" t="s">
        <v>139</v>
      </c>
      <c r="K439" s="4">
        <v>0</v>
      </c>
      <c r="M439" s="4" t="s">
        <v>139</v>
      </c>
      <c r="N439" s="4">
        <f>SUMIF(Clean_sheet!C436:C935,client_formula_data!M439,Clean_sheet!K436:K935)</f>
        <v>996</v>
      </c>
    </row>
    <row r="440" spans="6:14" x14ac:dyDescent="0.25">
      <c r="F440" s="5" t="s">
        <v>133</v>
      </c>
      <c r="G440" s="5">
        <f>_xlfn.XLOOKUP(F440,Product_Master!$A$2:$A$26,Product_Master!$C$2:$C$26)</f>
        <v>249</v>
      </c>
      <c r="H440" s="5" t="str">
        <f>_xlfn.XLOOKUP(F440,Product_Master!$A$2:$A$26,Product_Master!$D$2:$D$26)</f>
        <v>High</v>
      </c>
      <c r="J440" s="4" t="s">
        <v>97</v>
      </c>
      <c r="K440" s="4">
        <v>0</v>
      </c>
      <c r="M440" s="4" t="s">
        <v>97</v>
      </c>
      <c r="N440" s="4">
        <f>SUMIF(Clean_sheet!C437:C936,client_formula_data!M440,Clean_sheet!K437:K936)</f>
        <v>1495</v>
      </c>
    </row>
    <row r="441" spans="6:14" x14ac:dyDescent="0.25">
      <c r="F441" s="5" t="s">
        <v>108</v>
      </c>
      <c r="G441" s="5">
        <f>_xlfn.XLOOKUP(F441,Product_Master!$A$2:$A$26,Product_Master!$C$2:$C$26)</f>
        <v>499</v>
      </c>
      <c r="H441" s="5" t="str">
        <f>_xlfn.XLOOKUP(F441,Product_Master!$A$2:$A$26,Product_Master!$D$2:$D$26)</f>
        <v>Medium</v>
      </c>
      <c r="J441" s="4" t="s">
        <v>495</v>
      </c>
      <c r="K441" s="4">
        <v>0</v>
      </c>
      <c r="M441" s="4" t="s">
        <v>495</v>
      </c>
      <c r="N441" s="4">
        <f>SUMIF(Clean_sheet!C438:C937,client_formula_data!M441,Clean_sheet!K438:K937)</f>
        <v>2494</v>
      </c>
    </row>
    <row r="442" spans="6:14" x14ac:dyDescent="0.25">
      <c r="F442" s="5" t="s">
        <v>45</v>
      </c>
      <c r="G442" s="5">
        <f>_xlfn.XLOOKUP(F442,Product_Master!$A$2:$A$26,Product_Master!$C$2:$C$26)</f>
        <v>249</v>
      </c>
      <c r="H442" s="5" t="str">
        <f>_xlfn.XLOOKUP(F442,Product_Master!$A$2:$A$26,Product_Master!$D$2:$D$26)</f>
        <v>High</v>
      </c>
      <c r="J442" s="4" t="s">
        <v>114</v>
      </c>
      <c r="K442" s="4">
        <v>0</v>
      </c>
      <c r="M442" s="4" t="s">
        <v>114</v>
      </c>
      <c r="N442" s="4">
        <f>SUMIF(Clean_sheet!C439:C938,client_formula_data!M442,Clean_sheet!K439:K938)</f>
        <v>3996</v>
      </c>
    </row>
    <row r="443" spans="6:14" x14ac:dyDescent="0.25">
      <c r="F443" s="5" t="s">
        <v>156</v>
      </c>
      <c r="G443" s="5">
        <f>_xlfn.XLOOKUP(F443,Product_Master!$A$2:$A$26,Product_Master!$C$2:$C$26)</f>
        <v>599</v>
      </c>
      <c r="H443" s="5" t="str">
        <f>_xlfn.XLOOKUP(F443,Product_Master!$A$2:$A$26,Product_Master!$D$2:$D$26)</f>
        <v>High</v>
      </c>
      <c r="J443" s="4" t="s">
        <v>259</v>
      </c>
      <c r="K443" s="4">
        <v>0</v>
      </c>
      <c r="M443" s="4" t="s">
        <v>259</v>
      </c>
      <c r="N443" s="4">
        <f>SUMIF(Clean_sheet!C440:C939,client_formula_data!M443,Clean_sheet!K440:K939)</f>
        <v>9091</v>
      </c>
    </row>
    <row r="444" spans="6:14" x14ac:dyDescent="0.25">
      <c r="F444" s="5" t="s">
        <v>52</v>
      </c>
      <c r="G444" s="5">
        <f>_xlfn.XLOOKUP(F444,Product_Master!$A$2:$A$26,Product_Master!$C$2:$C$26)</f>
        <v>299</v>
      </c>
      <c r="H444" s="5" t="str">
        <f>_xlfn.XLOOKUP(F444,Product_Master!$A$2:$A$26,Product_Master!$D$2:$D$26)</f>
        <v>Medium</v>
      </c>
      <c r="J444" s="4" t="s">
        <v>221</v>
      </c>
      <c r="K444" s="4">
        <v>0</v>
      </c>
      <c r="M444" s="4" t="s">
        <v>221</v>
      </c>
      <c r="N444" s="4">
        <f>SUMIF(Clean_sheet!C441:C940,client_formula_data!M444,Clean_sheet!K441:K940)</f>
        <v>1999</v>
      </c>
    </row>
    <row r="445" spans="6:14" x14ac:dyDescent="0.25">
      <c r="F445" s="5" t="s">
        <v>151</v>
      </c>
      <c r="G445" s="5">
        <f>_xlfn.XLOOKUP(F445,Product_Master!$A$2:$A$26,Product_Master!$C$2:$C$26)</f>
        <v>1299</v>
      </c>
      <c r="H445" s="5" t="str">
        <f>_xlfn.XLOOKUP(F445,Product_Master!$A$2:$A$26,Product_Master!$D$2:$D$26)</f>
        <v>Medium</v>
      </c>
      <c r="J445" s="4" t="s">
        <v>224</v>
      </c>
      <c r="K445" s="4">
        <v>0</v>
      </c>
      <c r="M445" s="4" t="s">
        <v>224</v>
      </c>
      <c r="N445" s="4">
        <f>SUMIF(Clean_sheet!C442:C941,client_formula_data!M445,Clean_sheet!K442:K941)</f>
        <v>8740</v>
      </c>
    </row>
    <row r="446" spans="6:14" x14ac:dyDescent="0.25">
      <c r="F446" s="5" t="s">
        <v>156</v>
      </c>
      <c r="G446" s="5">
        <f>_xlfn.XLOOKUP(F446,Product_Master!$A$2:$A$26,Product_Master!$C$2:$C$26)</f>
        <v>599</v>
      </c>
      <c r="H446" s="5" t="str">
        <f>_xlfn.XLOOKUP(F446,Product_Master!$A$2:$A$26,Product_Master!$D$2:$D$26)</f>
        <v>High</v>
      </c>
      <c r="J446" s="4" t="s">
        <v>180</v>
      </c>
      <c r="K446" s="4">
        <v>0</v>
      </c>
      <c r="M446" s="4" t="s">
        <v>180</v>
      </c>
      <c r="N446" s="4">
        <f>SUMIF(Clean_sheet!C443:C942,client_formula_data!M446,Clean_sheet!K443:K942)</f>
        <v>5196</v>
      </c>
    </row>
    <row r="447" spans="6:14" x14ac:dyDescent="0.25">
      <c r="F447" s="5" t="s">
        <v>200</v>
      </c>
      <c r="G447" s="5">
        <f>_xlfn.XLOOKUP(F447,Product_Master!$A$2:$A$26,Product_Master!$C$2:$C$26)</f>
        <v>1299</v>
      </c>
      <c r="H447" s="5" t="str">
        <f>_xlfn.XLOOKUP(F447,Product_Master!$A$2:$A$26,Product_Master!$D$2:$D$26)</f>
        <v>High</v>
      </c>
      <c r="J447" s="4" t="s">
        <v>495</v>
      </c>
      <c r="K447" s="4">
        <v>0</v>
      </c>
      <c r="M447" s="4" t="s">
        <v>495</v>
      </c>
      <c r="N447" s="4">
        <f>SUMIF(Clean_sheet!C444:C943,client_formula_data!M447,Clean_sheet!K444:K943)</f>
        <v>498</v>
      </c>
    </row>
    <row r="448" spans="6:14" x14ac:dyDescent="0.25">
      <c r="F448" s="5" t="s">
        <v>94</v>
      </c>
      <c r="G448" s="5">
        <f>_xlfn.XLOOKUP(F448,Product_Master!$A$2:$A$26,Product_Master!$C$2:$C$26)</f>
        <v>999</v>
      </c>
      <c r="H448" s="5" t="str">
        <f>_xlfn.XLOOKUP(F448,Product_Master!$A$2:$A$26,Product_Master!$D$2:$D$26)</f>
        <v>Medium</v>
      </c>
      <c r="J448" s="4" t="s">
        <v>302</v>
      </c>
      <c r="K448" s="4">
        <v>0</v>
      </c>
      <c r="M448" s="4" t="s">
        <v>302</v>
      </c>
      <c r="N448" s="4">
        <f>SUMIF(Clean_sheet!C445:C944,client_formula_data!M448,Clean_sheet!K445:K944)</f>
        <v>897</v>
      </c>
    </row>
    <row r="449" spans="6:14" x14ac:dyDescent="0.25">
      <c r="F449" s="5" t="s">
        <v>108</v>
      </c>
      <c r="G449" s="5">
        <f>_xlfn.XLOOKUP(F449,Product_Master!$A$2:$A$26,Product_Master!$C$2:$C$26)</f>
        <v>499</v>
      </c>
      <c r="H449" s="5" t="str">
        <f>_xlfn.XLOOKUP(F449,Product_Master!$A$2:$A$26,Product_Master!$D$2:$D$26)</f>
        <v>Medium</v>
      </c>
      <c r="J449" s="4" t="s">
        <v>199</v>
      </c>
      <c r="K449" s="4">
        <v>0</v>
      </c>
      <c r="M449" s="4" t="s">
        <v>199</v>
      </c>
      <c r="N449" s="4">
        <f>SUMIF(Clean_sheet!C446:C945,client_formula_data!M449,Clean_sheet!K446:K945)</f>
        <v>199</v>
      </c>
    </row>
    <row r="450" spans="6:14" x14ac:dyDescent="0.25">
      <c r="F450" s="5" t="s">
        <v>108</v>
      </c>
      <c r="G450" s="5">
        <f>_xlfn.XLOOKUP(F450,Product_Master!$A$2:$A$26,Product_Master!$C$2:$C$26)</f>
        <v>499</v>
      </c>
      <c r="H450" s="5" t="str">
        <f>_xlfn.XLOOKUP(F450,Product_Master!$A$2:$A$26,Product_Master!$D$2:$D$26)</f>
        <v>Medium</v>
      </c>
      <c r="J450" s="4" t="s">
        <v>197</v>
      </c>
      <c r="K450" s="4">
        <v>0</v>
      </c>
      <c r="M450" s="4" t="s">
        <v>197</v>
      </c>
      <c r="N450" s="4">
        <f>SUMIF(Clean_sheet!C447:C946,client_formula_data!M450,Clean_sheet!K447:K946)</f>
        <v>4998</v>
      </c>
    </row>
    <row r="451" spans="6:14" x14ac:dyDescent="0.25">
      <c r="F451" s="5" t="s">
        <v>177</v>
      </c>
      <c r="G451" s="5">
        <f>_xlfn.XLOOKUP(F451,Product_Master!$A$2:$A$26,Product_Master!$C$2:$C$26)</f>
        <v>299</v>
      </c>
      <c r="H451" s="5" t="str">
        <f>_xlfn.XLOOKUP(F451,Product_Master!$A$2:$A$26,Product_Master!$D$2:$D$26)</f>
        <v>Low</v>
      </c>
      <c r="J451" s="4" t="s">
        <v>239</v>
      </c>
      <c r="K451" s="4">
        <v>0</v>
      </c>
      <c r="M451" s="4" t="s">
        <v>239</v>
      </c>
      <c r="N451" s="4">
        <f>SUMIF(Clean_sheet!C448:C947,client_formula_data!M451,Clean_sheet!K448:K947)</f>
        <v>10494</v>
      </c>
    </row>
    <row r="452" spans="6:14" x14ac:dyDescent="0.25">
      <c r="F452" s="5" t="s">
        <v>140</v>
      </c>
      <c r="G452" s="5">
        <f>_xlfn.XLOOKUP(F452,Product_Master!$A$2:$A$26,Product_Master!$C$2:$C$26)</f>
        <v>499</v>
      </c>
      <c r="H452" s="5" t="str">
        <f>_xlfn.XLOOKUP(F452,Product_Master!$A$2:$A$26,Product_Master!$D$2:$D$26)</f>
        <v>Medium</v>
      </c>
      <c r="J452" s="4" t="s">
        <v>56</v>
      </c>
      <c r="K452" s="4">
        <v>0</v>
      </c>
      <c r="M452" s="4" t="s">
        <v>56</v>
      </c>
      <c r="N452" s="4">
        <f>SUMIF(Clean_sheet!C449:C948,client_formula_data!M452,Clean_sheet!K449:K948)</f>
        <v>3998</v>
      </c>
    </row>
    <row r="453" spans="6:14" x14ac:dyDescent="0.25">
      <c r="F453" s="5" t="s">
        <v>94</v>
      </c>
      <c r="G453" s="5">
        <f>_xlfn.XLOOKUP(F453,Product_Master!$A$2:$A$26,Product_Master!$C$2:$C$26)</f>
        <v>999</v>
      </c>
      <c r="H453" s="5" t="str">
        <f>_xlfn.XLOOKUP(F453,Product_Master!$A$2:$A$26,Product_Master!$D$2:$D$26)</f>
        <v>Medium</v>
      </c>
      <c r="J453" s="4" t="s">
        <v>377</v>
      </c>
      <c r="K453" s="4">
        <v>0</v>
      </c>
      <c r="M453" s="4" t="s">
        <v>377</v>
      </c>
      <c r="N453" s="4">
        <f>SUMIF(Clean_sheet!C450:C949,client_formula_data!M453,Clean_sheet!K450:K949)</f>
        <v>399</v>
      </c>
    </row>
    <row r="454" spans="6:14" x14ac:dyDescent="0.25">
      <c r="F454" s="5" t="s">
        <v>137</v>
      </c>
      <c r="G454" s="5">
        <f>_xlfn.XLOOKUP(F454,Product_Master!$A$2:$A$26,Product_Master!$C$2:$C$26)</f>
        <v>299</v>
      </c>
      <c r="H454" s="5" t="str">
        <f>_xlfn.XLOOKUP(F454,Product_Master!$A$2:$A$26,Product_Master!$D$2:$D$26)</f>
        <v>Low</v>
      </c>
      <c r="J454" s="4" t="s">
        <v>452</v>
      </c>
      <c r="K454" s="4">
        <v>0</v>
      </c>
      <c r="M454" s="4" t="s">
        <v>452</v>
      </c>
      <c r="N454" s="4">
        <f>SUMIF(Clean_sheet!C451:C950,client_formula_data!M454,Clean_sheet!K451:K950)</f>
        <v>9891</v>
      </c>
    </row>
    <row r="455" spans="6:14" x14ac:dyDescent="0.25">
      <c r="F455" s="5" t="s">
        <v>64</v>
      </c>
      <c r="G455" s="5">
        <f>_xlfn.XLOOKUP(F455,Product_Master!$A$2:$A$26,Product_Master!$C$2:$C$26)</f>
        <v>599</v>
      </c>
      <c r="H455" s="5" t="str">
        <f>_xlfn.XLOOKUP(F455,Product_Master!$A$2:$A$26,Product_Master!$D$2:$D$26)</f>
        <v>Low</v>
      </c>
      <c r="J455" s="4" t="s">
        <v>286</v>
      </c>
      <c r="K455" s="4">
        <v>0</v>
      </c>
      <c r="M455" s="4" t="s">
        <v>286</v>
      </c>
      <c r="N455" s="4">
        <f>SUMIF(Clean_sheet!C452:C951,client_formula_data!M455,Clean_sheet!K452:K951)</f>
        <v>1996</v>
      </c>
    </row>
    <row r="456" spans="6:14" x14ac:dyDescent="0.25">
      <c r="F456" s="5" t="s">
        <v>73</v>
      </c>
      <c r="G456" s="5">
        <f>_xlfn.XLOOKUP(F456,Product_Master!$A$2:$A$26,Product_Master!$C$2:$C$26)</f>
        <v>1499</v>
      </c>
      <c r="H456" s="5" t="str">
        <f>_xlfn.XLOOKUP(F456,Product_Master!$A$2:$A$26,Product_Master!$D$2:$D$26)</f>
        <v>Medium</v>
      </c>
      <c r="J456" s="4" t="s">
        <v>266</v>
      </c>
      <c r="K456" s="4">
        <v>0</v>
      </c>
      <c r="M456" s="4" t="s">
        <v>266</v>
      </c>
      <c r="N456" s="4">
        <f>SUMIF(Clean_sheet!C453:C952,client_formula_data!M456,Clean_sheet!K453:K952)</f>
        <v>5196</v>
      </c>
    </row>
    <row r="457" spans="6:14" x14ac:dyDescent="0.25">
      <c r="F457" s="5" t="s">
        <v>108</v>
      </c>
      <c r="G457" s="5">
        <f>_xlfn.XLOOKUP(F457,Product_Master!$A$2:$A$26,Product_Master!$C$2:$C$26)</f>
        <v>499</v>
      </c>
      <c r="H457" s="5" t="str">
        <f>_xlfn.XLOOKUP(F457,Product_Master!$A$2:$A$26,Product_Master!$D$2:$D$26)</f>
        <v>Medium</v>
      </c>
      <c r="J457" s="4" t="s">
        <v>80</v>
      </c>
      <c r="K457" s="4">
        <v>0</v>
      </c>
      <c r="M457" s="4" t="s">
        <v>80</v>
      </c>
      <c r="N457" s="4">
        <f>SUMIF(Clean_sheet!C454:C953,client_formula_data!M457,Clean_sheet!K454:K953)</f>
        <v>3196</v>
      </c>
    </row>
    <row r="458" spans="6:14" x14ac:dyDescent="0.25">
      <c r="F458" s="5" t="s">
        <v>81</v>
      </c>
      <c r="G458" s="5">
        <f>_xlfn.XLOOKUP(F458,Product_Master!$A$2:$A$26,Product_Master!$C$2:$C$26)</f>
        <v>299</v>
      </c>
      <c r="H458" s="5" t="str">
        <f>_xlfn.XLOOKUP(F458,Product_Master!$A$2:$A$26,Product_Master!$D$2:$D$26)</f>
        <v>Low</v>
      </c>
      <c r="J458" s="4" t="s">
        <v>34</v>
      </c>
      <c r="K458" s="4">
        <v>0</v>
      </c>
      <c r="M458" s="4" t="s">
        <v>34</v>
      </c>
      <c r="N458" s="4">
        <f>SUMIF(Clean_sheet!C455:C954,client_formula_data!M458,Clean_sheet!K455:K954)</f>
        <v>597</v>
      </c>
    </row>
    <row r="459" spans="6:14" x14ac:dyDescent="0.25">
      <c r="F459" s="5" t="s">
        <v>171</v>
      </c>
      <c r="G459" s="5">
        <f>_xlfn.XLOOKUP(F459,Product_Master!$A$2:$A$26,Product_Master!$C$2:$C$26)</f>
        <v>299</v>
      </c>
      <c r="H459" s="5" t="str">
        <f>_xlfn.XLOOKUP(F459,Product_Master!$A$2:$A$26,Product_Master!$D$2:$D$26)</f>
        <v>High</v>
      </c>
      <c r="J459" s="4" t="s">
        <v>59</v>
      </c>
      <c r="K459" s="4">
        <v>0</v>
      </c>
      <c r="M459" s="4" t="s">
        <v>59</v>
      </c>
      <c r="N459" s="4">
        <f>SUMIF(Clean_sheet!C456:C955,client_formula_data!M459,Clean_sheet!K456:K955)</f>
        <v>7996</v>
      </c>
    </row>
    <row r="460" spans="6:14" x14ac:dyDescent="0.25">
      <c r="F460" s="5" t="s">
        <v>151</v>
      </c>
      <c r="G460" s="5">
        <f>_xlfn.XLOOKUP(F460,Product_Master!$A$2:$A$26,Product_Master!$C$2:$C$26)</f>
        <v>1299</v>
      </c>
      <c r="H460" s="5" t="str">
        <f>_xlfn.XLOOKUP(F460,Product_Master!$A$2:$A$26,Product_Master!$D$2:$D$26)</f>
        <v>Medium</v>
      </c>
      <c r="J460" s="4" t="s">
        <v>257</v>
      </c>
      <c r="K460" s="4">
        <v>0</v>
      </c>
      <c r="M460" s="4" t="s">
        <v>257</v>
      </c>
      <c r="N460" s="4">
        <f>SUMIF(Clean_sheet!C457:C956,client_formula_data!M460,Clean_sheet!K457:K956)</f>
        <v>9092</v>
      </c>
    </row>
    <row r="461" spans="6:14" x14ac:dyDescent="0.25">
      <c r="F461" s="5" t="s">
        <v>69</v>
      </c>
      <c r="G461" s="5">
        <f>_xlfn.XLOOKUP(F461,Product_Master!$A$2:$A$26,Product_Master!$C$2:$C$26)</f>
        <v>499</v>
      </c>
      <c r="H461" s="5" t="str">
        <f>_xlfn.XLOOKUP(F461,Product_Master!$A$2:$A$26,Product_Master!$D$2:$D$26)</f>
        <v>Medium</v>
      </c>
      <c r="J461" s="4" t="s">
        <v>84</v>
      </c>
      <c r="K461" s="4">
        <v>0</v>
      </c>
      <c r="M461" s="4" t="s">
        <v>84</v>
      </c>
      <c r="N461" s="4">
        <f>SUMIF(Clean_sheet!C458:C957,client_formula_data!M461,Clean_sheet!K458:K957)</f>
        <v>299</v>
      </c>
    </row>
    <row r="462" spans="6:14" x14ac:dyDescent="0.25">
      <c r="F462" s="5" t="s">
        <v>94</v>
      </c>
      <c r="G462" s="5">
        <f>_xlfn.XLOOKUP(F462,Product_Master!$A$2:$A$26,Product_Master!$C$2:$C$26)</f>
        <v>999</v>
      </c>
      <c r="H462" s="5" t="str">
        <f>_xlfn.XLOOKUP(F462,Product_Master!$A$2:$A$26,Product_Master!$D$2:$D$26)</f>
        <v>Medium</v>
      </c>
      <c r="J462" s="4" t="s">
        <v>294</v>
      </c>
      <c r="K462" s="4">
        <v>0</v>
      </c>
      <c r="M462" s="4" t="s">
        <v>294</v>
      </c>
      <c r="N462" s="4">
        <f>SUMIF(Clean_sheet!C459:C958,client_formula_data!M462,Clean_sheet!K459:K958)</f>
        <v>5996</v>
      </c>
    </row>
    <row r="463" spans="6:14" x14ac:dyDescent="0.25">
      <c r="F463" s="5" t="s">
        <v>120</v>
      </c>
      <c r="G463" s="5">
        <f>_xlfn.XLOOKUP(F463,Product_Master!$A$2:$A$26,Product_Master!$C$2:$C$26)</f>
        <v>299</v>
      </c>
      <c r="H463" s="5" t="str">
        <f>_xlfn.XLOOKUP(F463,Product_Master!$A$2:$A$26,Product_Master!$D$2:$D$26)</f>
        <v>Medium</v>
      </c>
      <c r="J463" s="4" t="s">
        <v>257</v>
      </c>
      <c r="K463" s="4">
        <v>0</v>
      </c>
      <c r="M463" s="4" t="s">
        <v>257</v>
      </c>
      <c r="N463" s="4">
        <f>SUMIF(Clean_sheet!C460:C959,client_formula_data!M463,Clean_sheet!K460:K959)</f>
        <v>7595</v>
      </c>
    </row>
    <row r="464" spans="6:14" x14ac:dyDescent="0.25">
      <c r="F464" s="5" t="s">
        <v>64</v>
      </c>
      <c r="G464" s="5">
        <f>_xlfn.XLOOKUP(F464,Product_Master!$A$2:$A$26,Product_Master!$C$2:$C$26)</f>
        <v>599</v>
      </c>
      <c r="H464" s="5" t="str">
        <f>_xlfn.XLOOKUP(F464,Product_Master!$A$2:$A$26,Product_Master!$D$2:$D$26)</f>
        <v>Low</v>
      </c>
      <c r="J464" s="4" t="s">
        <v>161</v>
      </c>
      <c r="K464" s="4">
        <v>0</v>
      </c>
      <c r="M464" s="4" t="s">
        <v>161</v>
      </c>
      <c r="N464" s="4">
        <f>SUMIF(Clean_sheet!C461:C960,client_formula_data!M464,Clean_sheet!K461:K960)</f>
        <v>2997</v>
      </c>
    </row>
    <row r="465" spans="6:14" x14ac:dyDescent="0.25">
      <c r="F465" s="5" t="s">
        <v>151</v>
      </c>
      <c r="G465" s="5">
        <f>_xlfn.XLOOKUP(F465,Product_Master!$A$2:$A$26,Product_Master!$C$2:$C$26)</f>
        <v>1299</v>
      </c>
      <c r="H465" s="5" t="str">
        <f>_xlfn.XLOOKUP(F465,Product_Master!$A$2:$A$26,Product_Master!$D$2:$D$26)</f>
        <v>Medium</v>
      </c>
      <c r="J465" s="4" t="s">
        <v>75</v>
      </c>
      <c r="K465" s="4">
        <v>0</v>
      </c>
      <c r="M465" s="4" t="s">
        <v>75</v>
      </c>
      <c r="N465" s="4">
        <f>SUMIF(Clean_sheet!C462:C961,client_formula_data!M465,Clean_sheet!K462:K961)</f>
        <v>5493</v>
      </c>
    </row>
    <row r="466" spans="6:14" x14ac:dyDescent="0.25">
      <c r="F466" s="5" t="s">
        <v>133</v>
      </c>
      <c r="G466" s="5">
        <f>_xlfn.XLOOKUP(F466,Product_Master!$A$2:$A$26,Product_Master!$C$2:$C$26)</f>
        <v>249</v>
      </c>
      <c r="H466" s="5" t="str">
        <f>_xlfn.XLOOKUP(F466,Product_Master!$A$2:$A$26,Product_Master!$D$2:$D$26)</f>
        <v>High</v>
      </c>
      <c r="J466" s="4" t="s">
        <v>259</v>
      </c>
      <c r="K466" s="4">
        <v>0</v>
      </c>
      <c r="M466" s="4" t="s">
        <v>259</v>
      </c>
      <c r="N466" s="4">
        <f>SUMIF(Clean_sheet!C463:C962,client_formula_data!M466,Clean_sheet!K463:K962)</f>
        <v>1596</v>
      </c>
    </row>
    <row r="467" spans="6:14" x14ac:dyDescent="0.25">
      <c r="F467" s="5" t="s">
        <v>355</v>
      </c>
      <c r="G467" s="5">
        <f>_xlfn.XLOOKUP(F467,Product_Master!$A$2:$A$26,Product_Master!$C$2:$C$26)</f>
        <v>2499</v>
      </c>
      <c r="H467" s="5" t="str">
        <f>_xlfn.XLOOKUP(F467,Product_Master!$A$2:$A$26,Product_Master!$D$2:$D$26)</f>
        <v>Medium</v>
      </c>
      <c r="J467" s="4" t="s">
        <v>153</v>
      </c>
      <c r="K467" s="4">
        <v>0</v>
      </c>
      <c r="M467" s="4" t="s">
        <v>153</v>
      </c>
      <c r="N467" s="4">
        <f>SUMIF(Clean_sheet!C464:C963,client_formula_data!M467,Clean_sheet!K464:K963)</f>
        <v>2995</v>
      </c>
    </row>
    <row r="468" spans="6:14" x14ac:dyDescent="0.25">
      <c r="F468" s="5" t="s">
        <v>37</v>
      </c>
      <c r="G468" s="5">
        <f>_xlfn.XLOOKUP(F468,Product_Master!$A$2:$A$26,Product_Master!$C$2:$C$26)</f>
        <v>1999</v>
      </c>
      <c r="H468" s="5" t="str">
        <f>_xlfn.XLOOKUP(F468,Product_Master!$A$2:$A$26,Product_Master!$D$2:$D$26)</f>
        <v>High</v>
      </c>
      <c r="J468" s="4" t="s">
        <v>224</v>
      </c>
      <c r="K468" s="4">
        <v>0</v>
      </c>
      <c r="M468" s="4" t="s">
        <v>224</v>
      </c>
      <c r="N468" s="4">
        <f>SUMIF(Clean_sheet!C465:C964,client_formula_data!M468,Clean_sheet!K465:K964)</f>
        <v>1245</v>
      </c>
    </row>
    <row r="469" spans="6:14" x14ac:dyDescent="0.25">
      <c r="F469" s="5" t="s">
        <v>21</v>
      </c>
      <c r="G469" s="5">
        <f>_xlfn.XLOOKUP(F469,Product_Master!$A$2:$A$26,Product_Master!$C$2:$C$26)</f>
        <v>1499</v>
      </c>
      <c r="H469" s="5" t="str">
        <f>_xlfn.XLOOKUP(F469,Product_Master!$A$2:$A$26,Product_Master!$D$2:$D$26)</f>
        <v>Low</v>
      </c>
      <c r="J469" s="4" t="s">
        <v>72</v>
      </c>
      <c r="K469" s="4">
        <v>0</v>
      </c>
      <c r="M469" s="4" t="s">
        <v>72</v>
      </c>
      <c r="N469" s="4">
        <f>SUMIF(Clean_sheet!C466:C965,client_formula_data!M469,Clean_sheet!K466:K965)</f>
        <v>598</v>
      </c>
    </row>
    <row r="470" spans="6:14" x14ac:dyDescent="0.25">
      <c r="F470" s="5" t="s">
        <v>69</v>
      </c>
      <c r="G470" s="5">
        <f>_xlfn.XLOOKUP(F470,Product_Master!$A$2:$A$26,Product_Master!$C$2:$C$26)</f>
        <v>499</v>
      </c>
      <c r="H470" s="5" t="str">
        <f>_xlfn.XLOOKUP(F470,Product_Master!$A$2:$A$26,Product_Master!$D$2:$D$26)</f>
        <v>Medium</v>
      </c>
      <c r="J470" s="4" t="s">
        <v>304</v>
      </c>
      <c r="K470" s="4">
        <v>0</v>
      </c>
      <c r="M470" s="4" t="s">
        <v>304</v>
      </c>
      <c r="N470" s="4">
        <f>SUMIF(Clean_sheet!C467:C966,client_formula_data!M470,Clean_sheet!K467:K966)</f>
        <v>798</v>
      </c>
    </row>
    <row r="471" spans="6:14" x14ac:dyDescent="0.25">
      <c r="F471" s="5" t="s">
        <v>94</v>
      </c>
      <c r="G471" s="5">
        <f>_xlfn.XLOOKUP(F471,Product_Master!$A$2:$A$26,Product_Master!$C$2:$C$26)</f>
        <v>999</v>
      </c>
      <c r="H471" s="5" t="str">
        <f>_xlfn.XLOOKUP(F471,Product_Master!$A$2:$A$26,Product_Master!$D$2:$D$26)</f>
        <v>Medium</v>
      </c>
      <c r="J471" s="4" t="s">
        <v>105</v>
      </c>
      <c r="K471" s="4">
        <v>0</v>
      </c>
      <c r="M471" s="4" t="s">
        <v>105</v>
      </c>
      <c r="N471" s="4">
        <f>SUMIF(Clean_sheet!C468:C967,client_formula_data!M471,Clean_sheet!K468:K967)</f>
        <v>1196</v>
      </c>
    </row>
    <row r="472" spans="6:14" x14ac:dyDescent="0.25">
      <c r="F472" s="5" t="s">
        <v>52</v>
      </c>
      <c r="G472" s="5">
        <f>_xlfn.XLOOKUP(F472,Product_Master!$A$2:$A$26,Product_Master!$C$2:$C$26)</f>
        <v>299</v>
      </c>
      <c r="H472" s="5" t="str">
        <f>_xlfn.XLOOKUP(F472,Product_Master!$A$2:$A$26,Product_Master!$D$2:$D$26)</f>
        <v>Medium</v>
      </c>
      <c r="J472" s="4" t="s">
        <v>388</v>
      </c>
      <c r="K472" s="4">
        <v>0</v>
      </c>
      <c r="M472" s="4" t="s">
        <v>388</v>
      </c>
      <c r="N472" s="4">
        <f>SUMIF(Clean_sheet!C469:C968,client_formula_data!M472,Clean_sheet!K469:K968)</f>
        <v>15993</v>
      </c>
    </row>
    <row r="473" spans="6:14" x14ac:dyDescent="0.25">
      <c r="F473" s="5" t="s">
        <v>102</v>
      </c>
      <c r="G473" s="5">
        <f>_xlfn.XLOOKUP(F473,Product_Master!$A$2:$A$26,Product_Master!$C$2:$C$26)</f>
        <v>499</v>
      </c>
      <c r="H473" s="5" t="str">
        <f>_xlfn.XLOOKUP(F473,Product_Master!$A$2:$A$26,Product_Master!$D$2:$D$26)</f>
        <v>Medium</v>
      </c>
      <c r="J473" s="4" t="s">
        <v>342</v>
      </c>
      <c r="K473" s="4">
        <v>0</v>
      </c>
      <c r="M473" s="4" t="s">
        <v>342</v>
      </c>
      <c r="N473" s="4">
        <f>SUMIF(Clean_sheet!C470:C969,client_formula_data!M473,Clean_sheet!K470:K969)</f>
        <v>2598</v>
      </c>
    </row>
    <row r="474" spans="6:14" x14ac:dyDescent="0.25">
      <c r="F474" s="5" t="s">
        <v>140</v>
      </c>
      <c r="G474" s="5">
        <f>_xlfn.XLOOKUP(F474,Product_Master!$A$2:$A$26,Product_Master!$C$2:$C$26)</f>
        <v>499</v>
      </c>
      <c r="H474" s="5" t="str">
        <f>_xlfn.XLOOKUP(F474,Product_Master!$A$2:$A$26,Product_Master!$D$2:$D$26)</f>
        <v>Medium</v>
      </c>
      <c r="J474" s="4" t="s">
        <v>17</v>
      </c>
      <c r="K474" s="4">
        <v>0</v>
      </c>
      <c r="M474" s="4" t="s">
        <v>17</v>
      </c>
      <c r="N474" s="4">
        <f>SUMIF(Clean_sheet!C471:C970,client_formula_data!M474,Clean_sheet!K471:K970)</f>
        <v>1196</v>
      </c>
    </row>
    <row r="475" spans="6:14" x14ac:dyDescent="0.25">
      <c r="F475" s="5" t="s">
        <v>69</v>
      </c>
      <c r="G475" s="5">
        <f>_xlfn.XLOOKUP(F475,Product_Master!$A$2:$A$26,Product_Master!$C$2:$C$26)</f>
        <v>499</v>
      </c>
      <c r="H475" s="5" t="str">
        <f>_xlfn.XLOOKUP(F475,Product_Master!$A$2:$A$26,Product_Master!$D$2:$D$26)</f>
        <v>Medium</v>
      </c>
      <c r="J475" s="4" t="s">
        <v>452</v>
      </c>
      <c r="K475" s="4">
        <v>0</v>
      </c>
      <c r="M475" s="4" t="s">
        <v>452</v>
      </c>
      <c r="N475" s="4">
        <f>SUMIF(Clean_sheet!C472:C971,client_formula_data!M475,Clean_sheet!K472:K971)</f>
        <v>2396</v>
      </c>
    </row>
    <row r="476" spans="6:14" x14ac:dyDescent="0.25">
      <c r="F476" s="5" t="s">
        <v>99</v>
      </c>
      <c r="G476" s="5">
        <f>_xlfn.XLOOKUP(F476,Product_Master!$A$2:$A$26,Product_Master!$C$2:$C$26)</f>
        <v>1499</v>
      </c>
      <c r="H476" s="5" t="str">
        <f>_xlfn.XLOOKUP(F476,Product_Master!$A$2:$A$26,Product_Master!$D$2:$D$26)</f>
        <v>Low</v>
      </c>
      <c r="J476" s="4" t="s">
        <v>91</v>
      </c>
      <c r="K476" s="4">
        <v>0</v>
      </c>
      <c r="M476" s="4" t="s">
        <v>91</v>
      </c>
      <c r="N476" s="4">
        <f>SUMIF(Clean_sheet!C473:C972,client_formula_data!M476,Clean_sheet!K473:K972)</f>
        <v>7495</v>
      </c>
    </row>
    <row r="477" spans="6:14" x14ac:dyDescent="0.25">
      <c r="F477" s="5" t="s">
        <v>200</v>
      </c>
      <c r="G477" s="5">
        <f>_xlfn.XLOOKUP(F477,Product_Master!$A$2:$A$26,Product_Master!$C$2:$C$26)</f>
        <v>1299</v>
      </c>
      <c r="H477" s="5" t="str">
        <f>_xlfn.XLOOKUP(F477,Product_Master!$A$2:$A$26,Product_Master!$D$2:$D$26)</f>
        <v>High</v>
      </c>
      <c r="J477" s="4" t="s">
        <v>272</v>
      </c>
      <c r="K477" s="4">
        <v>0</v>
      </c>
      <c r="M477" s="4" t="s">
        <v>272</v>
      </c>
      <c r="N477" s="4">
        <f>SUMIF(Clean_sheet!C474:C973,client_formula_data!M477,Clean_sheet!K474:K973)</f>
        <v>3992</v>
      </c>
    </row>
    <row r="478" spans="6:14" x14ac:dyDescent="0.25">
      <c r="F478" s="5" t="s">
        <v>151</v>
      </c>
      <c r="G478" s="5">
        <f>_xlfn.XLOOKUP(F478,Product_Master!$A$2:$A$26,Product_Master!$C$2:$C$26)</f>
        <v>1299</v>
      </c>
      <c r="H478" s="5" t="str">
        <f>_xlfn.XLOOKUP(F478,Product_Master!$A$2:$A$26,Product_Master!$D$2:$D$26)</f>
        <v>Medium</v>
      </c>
      <c r="J478" s="4" t="s">
        <v>205</v>
      </c>
      <c r="K478" s="4">
        <v>0</v>
      </c>
      <c r="M478" s="4" t="s">
        <v>205</v>
      </c>
      <c r="N478" s="4">
        <f>SUMIF(Clean_sheet!C475:C974,client_formula_data!M478,Clean_sheet!K475:K974)</f>
        <v>999</v>
      </c>
    </row>
    <row r="479" spans="6:14" x14ac:dyDescent="0.25">
      <c r="F479" s="5" t="s">
        <v>81</v>
      </c>
      <c r="G479" s="5">
        <f>_xlfn.XLOOKUP(F479,Product_Master!$A$2:$A$26,Product_Master!$C$2:$C$26)</f>
        <v>299</v>
      </c>
      <c r="H479" s="5" t="str">
        <f>_xlfn.XLOOKUP(F479,Product_Master!$A$2:$A$26,Product_Master!$D$2:$D$26)</f>
        <v>Low</v>
      </c>
      <c r="J479" s="4" t="s">
        <v>315</v>
      </c>
      <c r="K479" s="4">
        <v>0</v>
      </c>
      <c r="M479" s="4" t="s">
        <v>315</v>
      </c>
      <c r="N479" s="4">
        <f>SUMIF(Clean_sheet!C476:C975,client_formula_data!M479,Clean_sheet!K476:K975)</f>
        <v>7497</v>
      </c>
    </row>
    <row r="480" spans="6:14" x14ac:dyDescent="0.25">
      <c r="F480" s="5" t="s">
        <v>73</v>
      </c>
      <c r="G480" s="5">
        <f>_xlfn.XLOOKUP(F480,Product_Master!$A$2:$A$26,Product_Master!$C$2:$C$26)</f>
        <v>1499</v>
      </c>
      <c r="H480" s="5" t="str">
        <f>_xlfn.XLOOKUP(F480,Product_Master!$A$2:$A$26,Product_Master!$D$2:$D$26)</f>
        <v>Medium</v>
      </c>
      <c r="J480" s="4" t="s">
        <v>237</v>
      </c>
      <c r="K480" s="4">
        <v>0</v>
      </c>
      <c r="M480" s="4" t="s">
        <v>237</v>
      </c>
      <c r="N480" s="4">
        <f>SUMIF(Clean_sheet!C477:C976,client_formula_data!M480,Clean_sheet!K477:K976)</f>
        <v>2997</v>
      </c>
    </row>
    <row r="481" spans="6:14" x14ac:dyDescent="0.25">
      <c r="F481" s="5" t="s">
        <v>21</v>
      </c>
      <c r="G481" s="5">
        <f>_xlfn.XLOOKUP(F481,Product_Master!$A$2:$A$26,Product_Master!$C$2:$C$26)</f>
        <v>1499</v>
      </c>
      <c r="H481" s="5" t="str">
        <f>_xlfn.XLOOKUP(F481,Product_Master!$A$2:$A$26,Product_Master!$D$2:$D$26)</f>
        <v>Low</v>
      </c>
      <c r="J481" s="4" t="s">
        <v>274</v>
      </c>
      <c r="K481" s="4">
        <v>0</v>
      </c>
      <c r="M481" s="4" t="s">
        <v>274</v>
      </c>
      <c r="N481" s="4">
        <f>SUMIF(Clean_sheet!C478:C977,client_formula_data!M481,Clean_sheet!K478:K977)</f>
        <v>3591</v>
      </c>
    </row>
    <row r="482" spans="6:14" x14ac:dyDescent="0.25">
      <c r="F482" s="5" t="s">
        <v>102</v>
      </c>
      <c r="G482" s="5">
        <f>_xlfn.XLOOKUP(F482,Product_Master!$A$2:$A$26,Product_Master!$C$2:$C$26)</f>
        <v>499</v>
      </c>
      <c r="H482" s="5" t="str">
        <f>_xlfn.XLOOKUP(F482,Product_Master!$A$2:$A$26,Product_Master!$D$2:$D$26)</f>
        <v>Medium</v>
      </c>
      <c r="J482" s="4" t="s">
        <v>272</v>
      </c>
      <c r="K482" s="4">
        <v>0</v>
      </c>
      <c r="M482" s="4" t="s">
        <v>272</v>
      </c>
      <c r="N482" s="4">
        <f>SUMIF(Clean_sheet!C479:C978,client_formula_data!M482,Clean_sheet!K479:K978)</f>
        <v>995</v>
      </c>
    </row>
    <row r="483" spans="6:14" x14ac:dyDescent="0.25">
      <c r="F483" s="5" t="s">
        <v>30</v>
      </c>
      <c r="G483" s="5">
        <f>_xlfn.XLOOKUP(F483,Product_Master!$A$2:$A$26,Product_Master!$C$2:$C$26)</f>
        <v>799</v>
      </c>
      <c r="H483" s="5" t="str">
        <f>_xlfn.XLOOKUP(F483,Product_Master!$A$2:$A$26,Product_Master!$D$2:$D$26)</f>
        <v>High</v>
      </c>
      <c r="J483" s="4" t="s">
        <v>250</v>
      </c>
      <c r="K483" s="4">
        <v>0</v>
      </c>
      <c r="M483" s="4" t="s">
        <v>250</v>
      </c>
      <c r="N483" s="4">
        <f>SUMIF(Clean_sheet!C480:C979,client_formula_data!M483,Clean_sheet!K480:K979)</f>
        <v>12495</v>
      </c>
    </row>
    <row r="484" spans="6:14" x14ac:dyDescent="0.25">
      <c r="F484" s="5" t="s">
        <v>133</v>
      </c>
      <c r="G484" s="5">
        <f>_xlfn.XLOOKUP(F484,Product_Master!$A$2:$A$26,Product_Master!$C$2:$C$26)</f>
        <v>249</v>
      </c>
      <c r="H484" s="5" t="str">
        <f>_xlfn.XLOOKUP(F484,Product_Master!$A$2:$A$26,Product_Master!$D$2:$D$26)</f>
        <v>High</v>
      </c>
      <c r="J484" s="4" t="s">
        <v>257</v>
      </c>
      <c r="K484" s="4">
        <v>0</v>
      </c>
      <c r="M484" s="4" t="s">
        <v>257</v>
      </c>
      <c r="N484" s="4">
        <f>SUMIF(Clean_sheet!C481:C980,client_formula_data!M484,Clean_sheet!K481:K980)</f>
        <v>1598</v>
      </c>
    </row>
    <row r="485" spans="6:14" x14ac:dyDescent="0.25">
      <c r="F485" s="5" t="s">
        <v>355</v>
      </c>
      <c r="G485" s="5">
        <f>_xlfn.XLOOKUP(F485,Product_Master!$A$2:$A$26,Product_Master!$C$2:$C$26)</f>
        <v>2499</v>
      </c>
      <c r="H485" s="5" t="str">
        <f>_xlfn.XLOOKUP(F485,Product_Master!$A$2:$A$26,Product_Master!$D$2:$D$26)</f>
        <v>Medium</v>
      </c>
      <c r="J485" s="4" t="s">
        <v>192</v>
      </c>
      <c r="K485" s="4">
        <v>0</v>
      </c>
      <c r="M485" s="4" t="s">
        <v>192</v>
      </c>
      <c r="N485" s="4">
        <f>SUMIF(Clean_sheet!C482:C981,client_formula_data!M485,Clean_sheet!K482:K981)</f>
        <v>3897</v>
      </c>
    </row>
    <row r="486" spans="6:14" x14ac:dyDescent="0.25">
      <c r="F486" s="5" t="s">
        <v>45</v>
      </c>
      <c r="G486" s="5">
        <f>_xlfn.XLOOKUP(F486,Product_Master!$A$2:$A$26,Product_Master!$C$2:$C$26)</f>
        <v>249</v>
      </c>
      <c r="H486" s="5" t="str">
        <f>_xlfn.XLOOKUP(F486,Product_Master!$A$2:$A$26,Product_Master!$D$2:$D$26)</f>
        <v>High</v>
      </c>
      <c r="J486" s="4" t="s">
        <v>388</v>
      </c>
      <c r="K486" s="4">
        <v>0</v>
      </c>
      <c r="M486" s="4" t="s">
        <v>388</v>
      </c>
      <c r="N486" s="4">
        <f>SUMIF(Clean_sheet!C483:C982,client_formula_data!M486,Clean_sheet!K483:K982)</f>
        <v>5997</v>
      </c>
    </row>
    <row r="487" spans="6:14" x14ac:dyDescent="0.25">
      <c r="F487" s="5" t="s">
        <v>21</v>
      </c>
      <c r="G487" s="5">
        <f>_xlfn.XLOOKUP(F487,Product_Master!$A$2:$A$26,Product_Master!$C$2:$C$26)</f>
        <v>1499</v>
      </c>
      <c r="H487" s="5" t="str">
        <f>_xlfn.XLOOKUP(F487,Product_Master!$A$2:$A$26,Product_Master!$D$2:$D$26)</f>
        <v>Low</v>
      </c>
      <c r="J487" s="4" t="s">
        <v>50</v>
      </c>
      <c r="K487" s="4">
        <v>0</v>
      </c>
      <c r="M487" s="4" t="s">
        <v>50</v>
      </c>
      <c r="N487" s="4">
        <f>SUMIF(Clean_sheet!C484:C983,client_formula_data!M487,Clean_sheet!K484:K983)</f>
        <v>199</v>
      </c>
    </row>
    <row r="488" spans="6:14" x14ac:dyDescent="0.25">
      <c r="F488" s="5" t="s">
        <v>81</v>
      </c>
      <c r="G488" s="5">
        <f>_xlfn.XLOOKUP(F488,Product_Master!$A$2:$A$26,Product_Master!$C$2:$C$26)</f>
        <v>299</v>
      </c>
      <c r="H488" s="5" t="str">
        <f>_xlfn.XLOOKUP(F488,Product_Master!$A$2:$A$26,Product_Master!$D$2:$D$26)</f>
        <v>Low</v>
      </c>
      <c r="J488" s="4" t="s">
        <v>188</v>
      </c>
      <c r="K488" s="4">
        <v>0</v>
      </c>
      <c r="M488" s="4" t="s">
        <v>188</v>
      </c>
      <c r="N488" s="4">
        <f>SUMIF(Clean_sheet!C485:C984,client_formula_data!M488,Clean_sheet!K485:K984)</f>
        <v>199</v>
      </c>
    </row>
    <row r="489" spans="6:14" x14ac:dyDescent="0.25">
      <c r="F489" s="5" t="s">
        <v>108</v>
      </c>
      <c r="G489" s="5">
        <f>_xlfn.XLOOKUP(F489,Product_Master!$A$2:$A$26,Product_Master!$C$2:$C$26)</f>
        <v>499</v>
      </c>
      <c r="H489" s="5" t="str">
        <f>_xlfn.XLOOKUP(F489,Product_Master!$A$2:$A$26,Product_Master!$D$2:$D$26)</f>
        <v>Medium</v>
      </c>
      <c r="J489" s="4" t="s">
        <v>677</v>
      </c>
      <c r="K489" s="4">
        <v>0</v>
      </c>
      <c r="M489" s="4" t="s">
        <v>677</v>
      </c>
      <c r="N489" s="4">
        <f>SUMIF(Clean_sheet!C486:C985,client_formula_data!M489,Clean_sheet!K486:K985)</f>
        <v>998</v>
      </c>
    </row>
    <row r="490" spans="6:14" x14ac:dyDescent="0.25">
      <c r="F490" s="5" t="s">
        <v>77</v>
      </c>
      <c r="G490" s="5">
        <f>_xlfn.XLOOKUP(F490,Product_Master!$A$2:$A$26,Product_Master!$C$2:$C$26)</f>
        <v>999</v>
      </c>
      <c r="H490" s="5" t="str">
        <f>_xlfn.XLOOKUP(F490,Product_Master!$A$2:$A$26,Product_Master!$D$2:$D$26)</f>
        <v>High</v>
      </c>
      <c r="J490" s="4" t="s">
        <v>119</v>
      </c>
      <c r="K490" s="4">
        <v>0</v>
      </c>
      <c r="M490" s="4" t="s">
        <v>119</v>
      </c>
      <c r="N490" s="4">
        <f>SUMIF(Clean_sheet!C487:C986,client_formula_data!M490,Clean_sheet!K487:K986)</f>
        <v>7294</v>
      </c>
    </row>
    <row r="491" spans="6:14" x14ac:dyDescent="0.25">
      <c r="F491" s="5" t="s">
        <v>69</v>
      </c>
      <c r="G491" s="5">
        <f>_xlfn.XLOOKUP(F491,Product_Master!$A$2:$A$26,Product_Master!$C$2:$C$26)</f>
        <v>499</v>
      </c>
      <c r="H491" s="5" t="str">
        <f>_xlfn.XLOOKUP(F491,Product_Master!$A$2:$A$26,Product_Master!$D$2:$D$26)</f>
        <v>Medium</v>
      </c>
      <c r="J491" s="4" t="s">
        <v>75</v>
      </c>
      <c r="K491" s="4">
        <v>0</v>
      </c>
      <c r="M491" s="4" t="s">
        <v>75</v>
      </c>
      <c r="N491" s="4">
        <f>SUMIF(Clean_sheet!C488:C987,client_formula_data!M491,Clean_sheet!K488:K987)</f>
        <v>3998</v>
      </c>
    </row>
    <row r="492" spans="6:14" x14ac:dyDescent="0.25">
      <c r="F492" s="5" t="s">
        <v>21</v>
      </c>
      <c r="G492" s="5">
        <f>_xlfn.XLOOKUP(F492,Product_Master!$A$2:$A$26,Product_Master!$C$2:$C$26)</f>
        <v>1499</v>
      </c>
      <c r="H492" s="5" t="str">
        <f>_xlfn.XLOOKUP(F492,Product_Master!$A$2:$A$26,Product_Master!$D$2:$D$26)</f>
        <v>Low</v>
      </c>
      <c r="J492" s="4" t="s">
        <v>495</v>
      </c>
      <c r="K492" s="4">
        <v>0</v>
      </c>
      <c r="M492" s="4" t="s">
        <v>495</v>
      </c>
      <c r="N492" s="4">
        <f>SUMIF(Clean_sheet!C489:C988,client_formula_data!M492,Clean_sheet!K489:K988)</f>
        <v>249</v>
      </c>
    </row>
    <row r="493" spans="6:14" x14ac:dyDescent="0.25">
      <c r="F493" s="5" t="s">
        <v>235</v>
      </c>
      <c r="G493" s="5">
        <f>_xlfn.XLOOKUP(F493,Product_Master!$A$2:$A$26,Product_Master!$C$2:$C$26)</f>
        <v>399</v>
      </c>
      <c r="H493" s="5" t="str">
        <f>_xlfn.XLOOKUP(F493,Product_Master!$A$2:$A$26,Product_Master!$D$2:$D$26)</f>
        <v>High</v>
      </c>
      <c r="J493" s="4" t="s">
        <v>432</v>
      </c>
      <c r="K493" s="4">
        <v>0</v>
      </c>
      <c r="M493" s="4" t="s">
        <v>432</v>
      </c>
      <c r="N493" s="4">
        <f>SUMIF(Clean_sheet!C490:C989,client_formula_data!M493,Clean_sheet!K490:K989)</f>
        <v>2397</v>
      </c>
    </row>
    <row r="494" spans="6:14" x14ac:dyDescent="0.25">
      <c r="F494" s="5" t="s">
        <v>156</v>
      </c>
      <c r="G494" s="5">
        <f>_xlfn.XLOOKUP(F494,Product_Master!$A$2:$A$26,Product_Master!$C$2:$C$26)</f>
        <v>599</v>
      </c>
      <c r="H494" s="5" t="str">
        <f>_xlfn.XLOOKUP(F494,Product_Master!$A$2:$A$26,Product_Master!$D$2:$D$26)</f>
        <v>High</v>
      </c>
      <c r="J494" s="4" t="s">
        <v>119</v>
      </c>
      <c r="K494" s="4">
        <v>0</v>
      </c>
      <c r="M494" s="4" t="s">
        <v>119</v>
      </c>
      <c r="N494" s="4">
        <f>SUMIF(Clean_sheet!C491:C990,client_formula_data!M494,Clean_sheet!K491:K990)</f>
        <v>6495</v>
      </c>
    </row>
    <row r="495" spans="6:14" x14ac:dyDescent="0.25">
      <c r="F495" s="5" t="s">
        <v>235</v>
      </c>
      <c r="G495" s="5">
        <f>_xlfn.XLOOKUP(F495,Product_Master!$A$2:$A$26,Product_Master!$C$2:$C$26)</f>
        <v>399</v>
      </c>
      <c r="H495" s="5" t="str">
        <f>_xlfn.XLOOKUP(F495,Product_Master!$A$2:$A$26,Product_Master!$D$2:$D$26)</f>
        <v>High</v>
      </c>
      <c r="J495" s="4" t="s">
        <v>283</v>
      </c>
      <c r="K495" s="4">
        <v>0</v>
      </c>
      <c r="M495" s="4" t="s">
        <v>283</v>
      </c>
      <c r="N495" s="4">
        <f>SUMIF(Clean_sheet!C492:C991,client_formula_data!M495,Clean_sheet!K492:K991)</f>
        <v>2598</v>
      </c>
    </row>
    <row r="496" spans="6:14" x14ac:dyDescent="0.25">
      <c r="F496" s="5" t="s">
        <v>30</v>
      </c>
      <c r="G496" s="5">
        <f>_xlfn.XLOOKUP(F496,Product_Master!$A$2:$A$26,Product_Master!$C$2:$C$26)</f>
        <v>799</v>
      </c>
      <c r="H496" s="5" t="str">
        <f>_xlfn.XLOOKUP(F496,Product_Master!$A$2:$A$26,Product_Master!$D$2:$D$26)</f>
        <v>High</v>
      </c>
      <c r="J496" s="4" t="s">
        <v>147</v>
      </c>
      <c r="K496" s="4">
        <v>0</v>
      </c>
      <c r="M496" s="4" t="s">
        <v>147</v>
      </c>
      <c r="N496" s="4">
        <f>SUMIF(Clean_sheet!C493:C992,client_formula_data!M496,Clean_sheet!K493:K992)</f>
        <v>399</v>
      </c>
    </row>
    <row r="497" spans="6:14" x14ac:dyDescent="0.25">
      <c r="F497" s="5" t="s">
        <v>156</v>
      </c>
      <c r="G497" s="5">
        <f>_xlfn.XLOOKUP(F497,Product_Master!$A$2:$A$26,Product_Master!$C$2:$C$26)</f>
        <v>599</v>
      </c>
      <c r="H497" s="5" t="str">
        <f>_xlfn.XLOOKUP(F497,Product_Master!$A$2:$A$26,Product_Master!$D$2:$D$26)</f>
        <v>High</v>
      </c>
      <c r="J497" s="4" t="s">
        <v>213</v>
      </c>
      <c r="K497" s="4">
        <v>0</v>
      </c>
      <c r="M497" s="4" t="s">
        <v>213</v>
      </c>
      <c r="N497" s="4">
        <f>SUMIF(Clean_sheet!C494:C993,client_formula_data!M497,Clean_sheet!K494:K993)</f>
        <v>599</v>
      </c>
    </row>
    <row r="498" spans="6:14" x14ac:dyDescent="0.25">
      <c r="F498" s="5" t="s">
        <v>200</v>
      </c>
      <c r="G498" s="5">
        <f>_xlfn.XLOOKUP(F498,Product_Master!$A$2:$A$26,Product_Master!$C$2:$C$26)</f>
        <v>1299</v>
      </c>
      <c r="H498" s="5" t="str">
        <f>_xlfn.XLOOKUP(F498,Product_Master!$A$2:$A$26,Product_Master!$D$2:$D$26)</f>
        <v>High</v>
      </c>
      <c r="J498" s="4" t="s">
        <v>274</v>
      </c>
      <c r="K498" s="4">
        <v>0</v>
      </c>
      <c r="M498" s="4" t="s">
        <v>274</v>
      </c>
      <c r="N498" s="4">
        <f>SUMIF(Clean_sheet!C495:C994,client_formula_data!M498,Clean_sheet!K495:K994)</f>
        <v>2096</v>
      </c>
    </row>
    <row r="499" spans="6:14" x14ac:dyDescent="0.25">
      <c r="F499" s="5" t="s">
        <v>52</v>
      </c>
      <c r="G499" s="5">
        <f>_xlfn.XLOOKUP(F499,Product_Master!$A$2:$A$26,Product_Master!$C$2:$C$26)</f>
        <v>299</v>
      </c>
      <c r="H499" s="5" t="str">
        <f>_xlfn.XLOOKUP(F499,Product_Master!$A$2:$A$26,Product_Master!$D$2:$D$26)</f>
        <v>Medium</v>
      </c>
      <c r="J499" s="4" t="s">
        <v>112</v>
      </c>
      <c r="K499" s="4">
        <v>0</v>
      </c>
      <c r="M499" s="4" t="s">
        <v>112</v>
      </c>
      <c r="N499" s="4">
        <f>SUMIF(Clean_sheet!C496:C995,client_formula_data!M499,Clean_sheet!K496:K995)</f>
        <v>499</v>
      </c>
    </row>
    <row r="500" spans="6:14" x14ac:dyDescent="0.25">
      <c r="F500" s="5" t="s">
        <v>108</v>
      </c>
      <c r="G500" s="5">
        <f>_xlfn.XLOOKUP(F500,Product_Master!$A$2:$A$26,Product_Master!$C$2:$C$26)</f>
        <v>499</v>
      </c>
      <c r="H500" s="5" t="str">
        <f>_xlfn.XLOOKUP(F500,Product_Master!$A$2:$A$26,Product_Master!$D$2:$D$26)</f>
        <v>Medium</v>
      </c>
      <c r="J500" s="4" t="s">
        <v>274</v>
      </c>
      <c r="K500" s="4">
        <v>0</v>
      </c>
      <c r="M500" s="4" t="s">
        <v>274</v>
      </c>
      <c r="N500" s="4">
        <f>SUMIF(Clean_sheet!C497:C996,client_formula_data!M500,Clean_sheet!K497:K996)</f>
        <v>1598</v>
      </c>
    </row>
    <row r="501" spans="6:14" x14ac:dyDescent="0.25">
      <c r="F501" s="5" t="s">
        <v>81</v>
      </c>
      <c r="G501" s="5">
        <f>_xlfn.XLOOKUP(F501,Product_Master!$A$2:$A$26,Product_Master!$C$2:$C$26)</f>
        <v>299</v>
      </c>
      <c r="H501" s="5" t="str">
        <f>_xlfn.XLOOKUP(F501,Product_Master!$A$2:$A$26,Product_Master!$D$2:$D$26)</f>
        <v>Low</v>
      </c>
      <c r="J501" s="4" t="s">
        <v>88</v>
      </c>
      <c r="K501" s="4">
        <v>0</v>
      </c>
      <c r="M501" s="4" t="s">
        <v>88</v>
      </c>
      <c r="N501" s="4">
        <f>SUMIF(Clean_sheet!C498:C997,client_formula_data!M501,Clean_sheet!K498:K997)</f>
        <v>1198</v>
      </c>
    </row>
    <row r="502" spans="6:14" x14ac:dyDescent="0.25">
      <c r="F502" s="5" t="s">
        <v>73</v>
      </c>
      <c r="G502" s="5">
        <f>_xlfn.XLOOKUP(F502,Product_Master!$A$2:$A$26,Product_Master!$C$2:$C$26)</f>
        <v>1499</v>
      </c>
      <c r="H502" s="5" t="str">
        <f>_xlfn.XLOOKUP(F502,Product_Master!$A$2:$A$26,Product_Master!$D$2:$D$26)</f>
        <v>Medium</v>
      </c>
      <c r="J502" s="4" t="s">
        <v>239</v>
      </c>
      <c r="K502" s="4">
        <v>0</v>
      </c>
      <c r="M502" s="4" t="s">
        <v>239</v>
      </c>
      <c r="N502" s="4">
        <f>SUMIF(Clean_sheet!C499:C998,client_formula_data!M502,Clean_sheet!K499:K998)</f>
        <v>498</v>
      </c>
    </row>
    <row r="503" spans="6:14" x14ac:dyDescent="0.25">
      <c r="F503" s="5" t="s">
        <v>81</v>
      </c>
      <c r="G503" s="5">
        <f>_xlfn.XLOOKUP(F503,Product_Master!$A$2:$A$26,Product_Master!$C$2:$C$26)</f>
        <v>299</v>
      </c>
      <c r="H503" s="5" t="str">
        <f>_xlfn.XLOOKUP(F503,Product_Master!$A$2:$A$26,Product_Master!$D$2:$D$26)</f>
        <v>Low</v>
      </c>
      <c r="J503" s="4" t="s">
        <v>155</v>
      </c>
      <c r="K503" s="4">
        <v>0</v>
      </c>
      <c r="M503" s="4" t="s">
        <v>155</v>
      </c>
      <c r="N503" s="4">
        <f>SUMIF(Clean_sheet!C500:C999,client_formula_data!M503,Clean_sheet!K500:K999)</f>
        <v>2397</v>
      </c>
    </row>
    <row r="504" spans="6:14" x14ac:dyDescent="0.25">
      <c r="F504" s="5" t="s">
        <v>200</v>
      </c>
      <c r="G504" s="5">
        <f>_xlfn.XLOOKUP(F504,Product_Master!$A$2:$A$26,Product_Master!$C$2:$C$26)</f>
        <v>1299</v>
      </c>
      <c r="H504" s="5" t="str">
        <f>_xlfn.XLOOKUP(F504,Product_Master!$A$2:$A$26,Product_Master!$D$2:$D$26)</f>
        <v>High</v>
      </c>
      <c r="J504" s="4" t="s">
        <v>299</v>
      </c>
      <c r="K504" s="4">
        <v>0</v>
      </c>
      <c r="M504" s="4" t="s">
        <v>299</v>
      </c>
      <c r="N504" s="4">
        <f>SUMIF(Clean_sheet!C501:C1000,client_formula_data!M504,Clean_sheet!K501:K1000)</f>
        <v>1499</v>
      </c>
    </row>
  </sheetData>
  <mergeCells count="4">
    <mergeCell ref="P1:R3"/>
    <mergeCell ref="J1:K3"/>
    <mergeCell ref="A1:H3"/>
    <mergeCell ref="M1:N3"/>
  </mergeCells>
  <conditionalFormatting sqref="C5:C104">
    <cfRule type="containsText" dxfId="4" priority="1" operator="containsText" text="Inactive">
      <formula>NOT(ISERROR(SEARCH("Inactive",C5)))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Orders_Raw</vt:lpstr>
      <vt:lpstr>Customer_Master</vt:lpstr>
      <vt:lpstr>Product_Master</vt:lpstr>
      <vt:lpstr>Clean_sheet</vt:lpstr>
      <vt:lpstr>client_formula_data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Vishwapal7@outlook.com</cp:lastModifiedBy>
  <dcterms:created xsi:type="dcterms:W3CDTF">2026-09-17T07:19:39Z</dcterms:created>
  <dcterms:modified xsi:type="dcterms:W3CDTF">2026-10-01T04:16:36Z</dcterms:modified>
</cp:coreProperties>
</file>